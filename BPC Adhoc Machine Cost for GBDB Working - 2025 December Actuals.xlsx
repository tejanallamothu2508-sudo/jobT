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rinterSettings/printerSettings1.bin" ContentType="application/vnd.openxmlformats-officedocument.spreadsheetml.printerSettings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activeX/activeX4.xml" ContentType="application/vnd.ms-office.activeX+xml"/>
  <Override PartName="/xl/activeX/activeX3.xml" ContentType="application/vnd.ms-office.activeX+xml"/>
  <Override PartName="/xl/activeX/activeX2.xml" ContentType="application/vnd.ms-office.activeX+xml"/>
  <Override PartName="/xl/activeX/activeX1.xml" ContentType="application/vnd.ms-office.activeX+xml"/>
  <Override PartName="/xl/activeX/activeX5.xml" ContentType="application/vnd.ms-office.activeX+xml"/>
  <Override PartName="/xl/activeX/activeX6.xml" ContentType="application/vnd.ms-office.activeX+xml"/>
  <Override PartName="/xl/activeX/activeX7.xml" ContentType="application/vnd.ms-office.activeX+xml"/>
  <Override PartName="/xl/activeX/activeX8.xml" ContentType="application/vnd.ms-office.activeX+xml"/>
  <Override PartName="/xl/activeX/activeX9.xml" ContentType="application/vnd.ms-office.activeX+xml"/>
  <Override PartName="/xl/activeX/activeX10.xml" ContentType="application/vnd.ms-office.activeX+xml"/>
  <Override PartName="/xl/activeX/activeX4.bin" ContentType="application/vnd.ms-office.activeX"/>
  <Override PartName="/xl/activeX/activeX3.bin" ContentType="application/vnd.ms-office.activeX"/>
  <Override PartName="/xl/activeX/activeX2.bin" ContentType="application/vnd.ms-office.activeX"/>
  <Override PartName="/xl/activeX/activeX1.bin" ContentType="application/vnd.ms-office.activeX"/>
  <Override PartName="/xl/activeX/activeX5.bin" ContentType="application/vnd.ms-office.activeX"/>
  <Override PartName="/xl/activeX/activeX6.bin" ContentType="application/vnd.ms-office.activeX"/>
  <Override PartName="/xl/activeX/activeX7.bin" ContentType="application/vnd.ms-office.activeX"/>
  <Override PartName="/xl/activeX/activeX8.bin" ContentType="application/vnd.ms-office.activeX"/>
  <Override PartName="/xl/activeX/activeX9.bin" ContentType="application/vnd.ms-office.activeX"/>
  <Override PartName="/xl/activeX/activeX10.bin" ContentType="application/vnd.ms-office.activeX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16"/>
  <workbookPr/>
  <mc:AlternateContent xmlns:mc="http://schemas.openxmlformats.org/markup-compatibility/2006">
    <mc:Choice Requires="x15">
      <x15ac:absPath xmlns:x15ac="http://schemas.microsoft.com/office/spreadsheetml/2010/11/ac" url="\\rnodata03\data02\FinDept\FORECAST\2025\Product Sales\GBDATABASE Linked Files\zCost\"/>
    </mc:Choice>
  </mc:AlternateContent>
  <xr:revisionPtr revIDLastSave="0" documentId="8_{2D04D9EB-41A9-4ECC-A492-1DB64EA59A61}" xr6:coauthVersionLast="47" xr6:coauthVersionMax="47" xr10:uidLastSave="{00000000-0000-0000-0000-000000000000}"/>
  <bookViews>
    <workbookView xWindow="28680" yWindow="-120" windowWidth="29040" windowHeight="15840" firstSheet="1" activeTab="1" xr2:uid="{00000000-000D-0000-FFFF-FFFF00000000}"/>
  </bookViews>
  <sheets>
    <sheet name="Machine Revenue Summary" sheetId="2" state="hidden" r:id="rId1"/>
    <sheet name="Total Cost by Region by CC" sheetId="15" r:id="rId2"/>
    <sheet name="Total Elim Only by PC" sheetId="14" state="hidden" r:id="rId3"/>
  </sheets>
  <definedNames>
    <definedName name="__FPMExcelClient_CellBasedFunctionStatus" localSheetId="2" hidden="1">"2_2_2_2_2_2"</definedName>
    <definedName name="__FPMExcelClient_Connection" localSheetId="2">"_FPM_BPCNW10_[https://rnosapbvp.igtsap.ad.igt.com:/sap/bpc/]_[GLOBALFPA]_[REPORTING]_[false]_[false]"</definedName>
    <definedName name="__FPMExcelClient_RefreshTime" localSheetId="2">636801196579149000</definedName>
    <definedName name="EPMWorkbookOptions_1" hidden="1">"dgEAAB+LCAAAAAAABACFkMEKgkAQhu9B77DsPVcLOoTaoS5BYhRU10lHXdJZ2d3aHj8pLKpD12++f4b5w/mtqdkVtZGKIh54PmdImcollRG/2GIUTPk8Hg7Cg9Lnk1LntLWdaliXIzO7GRnxytp2JoRzznMTT+lSjH0/EMdkvcsqbGAkyVigDPkrlf9P8e4qY+EWC42mSiltkeICaoOh+IQPb1Ej6CVYSGkHV+zNb/xw+182WlnMLOa9/Tv4"</definedName>
    <definedName name="EPMWorkbookOptions_2" hidden="1">"9F3OxBOtzB60hFONCeryveGHd9WJr+7iO45h/1l2AQAA"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15" l="1"/>
  <c r="B14" i="15"/>
  <c r="B15" i="15"/>
  <c r="B16" i="15"/>
  <c r="B17" i="15"/>
  <c r="B18" i="15"/>
  <c r="B19" i="15"/>
  <c r="B20" i="15"/>
  <c r="B21" i="15"/>
  <c r="B22" i="15"/>
  <c r="B23" i="15"/>
  <c r="B24" i="15"/>
  <c r="B25" i="15"/>
  <c r="B26" i="15"/>
  <c r="B27" i="15"/>
  <c r="B28" i="15"/>
  <c r="B29" i="15"/>
  <c r="B30" i="15"/>
  <c r="B31" i="15"/>
  <c r="B32" i="15"/>
  <c r="B33" i="15"/>
  <c r="B34" i="15"/>
  <c r="B35" i="15"/>
  <c r="B36" i="15"/>
  <c r="B37" i="15"/>
  <c r="B38" i="15"/>
  <c r="B39" i="15"/>
  <c r="B40" i="15"/>
  <c r="B41" i="15"/>
  <c r="B42" i="15"/>
  <c r="B43" i="15"/>
  <c r="B44" i="15"/>
  <c r="B45" i="15"/>
  <c r="B46" i="15"/>
  <c r="B47" i="15"/>
  <c r="B48" i="15"/>
  <c r="B49" i="15"/>
  <c r="B50" i="15"/>
  <c r="B51" i="15"/>
  <c r="B52" i="15"/>
  <c r="B53" i="15"/>
  <c r="B54" i="15"/>
  <c r="B55" i="15"/>
  <c r="B56" i="15"/>
  <c r="B57" i="15"/>
  <c r="B58" i="15"/>
  <c r="B59" i="15"/>
  <c r="B60" i="15"/>
  <c r="B61" i="15"/>
  <c r="B62" i="15"/>
  <c r="B63" i="15"/>
  <c r="B64" i="15"/>
  <c r="B65" i="15"/>
  <c r="B66" i="15"/>
  <c r="B67" i="15"/>
  <c r="B68" i="15"/>
  <c r="B69" i="15"/>
  <c r="B70" i="15"/>
  <c r="B71" i="15"/>
  <c r="B72" i="15"/>
  <c r="B73" i="15"/>
  <c r="B74" i="15"/>
  <c r="B75" i="15"/>
  <c r="B76" i="15"/>
  <c r="B77" i="15"/>
  <c r="B78" i="15"/>
  <c r="B79" i="15"/>
  <c r="B80" i="15"/>
  <c r="B81" i="15"/>
  <c r="B82" i="15"/>
  <c r="B83" i="15"/>
  <c r="B84" i="15"/>
  <c r="B85" i="15"/>
  <c r="B86" i="15"/>
  <c r="B87" i="15"/>
  <c r="B88" i="15"/>
  <c r="B89" i="15"/>
  <c r="B90" i="15"/>
  <c r="B91" i="15"/>
  <c r="B92" i="15"/>
  <c r="B93" i="15"/>
  <c r="B94" i="15"/>
  <c r="B95" i="15"/>
  <c r="B96" i="15"/>
  <c r="B97" i="15"/>
  <c r="B98" i="15"/>
  <c r="B99" i="15"/>
  <c r="B100" i="15"/>
  <c r="B101" i="15"/>
  <c r="B102" i="15"/>
  <c r="B103" i="15"/>
  <c r="B104" i="15"/>
  <c r="B105" i="15"/>
  <c r="B106" i="15"/>
  <c r="B107" i="15"/>
  <c r="B108" i="15"/>
  <c r="B109" i="15"/>
  <c r="B110" i="15"/>
  <c r="B111" i="15"/>
  <c r="B112" i="15"/>
  <c r="B113" i="15"/>
  <c r="B114" i="15"/>
  <c r="B115" i="15"/>
  <c r="B116" i="15"/>
  <c r="B117" i="15"/>
  <c r="B118" i="15"/>
  <c r="B119" i="15"/>
  <c r="B12" i="15"/>
  <c r="S119" i="15"/>
  <c r="R119" i="15"/>
  <c r="T119" i="15" s="1"/>
  <c r="Q119" i="15"/>
  <c r="R117" i="15"/>
  <c r="T117" i="15" s="1"/>
  <c r="S117" i="15"/>
  <c r="R118" i="15"/>
  <c r="S118" i="15"/>
  <c r="Q117" i="15"/>
  <c r="Q118" i="15"/>
  <c r="B36" i="14"/>
  <c r="E50" i="14"/>
  <c r="I50" i="14"/>
  <c r="M50" i="14"/>
  <c r="Q50" i="14"/>
  <c r="U50" i="14"/>
  <c r="Y50" i="14"/>
  <c r="AC50" i="14"/>
  <c r="AG50" i="14"/>
  <c r="AK50" i="14"/>
  <c r="B25" i="14"/>
  <c r="G12" i="14"/>
  <c r="K12" i="14"/>
  <c r="O12" i="14"/>
  <c r="S12" i="14"/>
  <c r="W12" i="14"/>
  <c r="AA12" i="14"/>
  <c r="AE12" i="14"/>
  <c r="AI12" i="14"/>
  <c r="B13" i="14"/>
  <c r="B17" i="14"/>
  <c r="B21" i="14"/>
  <c r="B28" i="14"/>
  <c r="B32" i="14"/>
  <c r="A9" i="14"/>
  <c r="A5" i="14"/>
  <c r="B48" i="14"/>
  <c r="B35" i="14"/>
  <c r="F50" i="14"/>
  <c r="J50" i="14"/>
  <c r="N50" i="14"/>
  <c r="R50" i="14"/>
  <c r="V50" i="14"/>
  <c r="Z50" i="14"/>
  <c r="AD50" i="14"/>
  <c r="AH50" i="14"/>
  <c r="AL50" i="14"/>
  <c r="D12" i="14"/>
  <c r="H12" i="14"/>
  <c r="L12" i="14"/>
  <c r="P12" i="14"/>
  <c r="T12" i="14"/>
  <c r="X12" i="14"/>
  <c r="AB12" i="14"/>
  <c r="AF12" i="14"/>
  <c r="AJ12" i="14"/>
  <c r="B14" i="14"/>
  <c r="B18" i="14"/>
  <c r="B22" i="14"/>
  <c r="B29" i="14"/>
  <c r="B33" i="14"/>
  <c r="A8" i="14"/>
  <c r="A4" i="14"/>
  <c r="B39" i="14"/>
  <c r="G50" i="14"/>
  <c r="K50" i="14"/>
  <c r="O50" i="14"/>
  <c r="S50" i="14"/>
  <c r="W50" i="14"/>
  <c r="AA50" i="14"/>
  <c r="AE50" i="14"/>
  <c r="AI50" i="14"/>
  <c r="B27" i="14"/>
  <c r="E12" i="14"/>
  <c r="I12" i="14"/>
  <c r="M12" i="14"/>
  <c r="Q12" i="14"/>
  <c r="U12" i="14"/>
  <c r="Y12" i="14"/>
  <c r="AC12" i="14"/>
  <c r="AG12" i="14"/>
  <c r="AK12" i="14"/>
  <c r="B15" i="14"/>
  <c r="B19" i="14"/>
  <c r="B23" i="14"/>
  <c r="B30" i="14"/>
  <c r="B34" i="14"/>
  <c r="A7" i="14"/>
  <c r="B38" i="14"/>
  <c r="H50" i="14"/>
  <c r="L50" i="14"/>
  <c r="P50" i="14"/>
  <c r="T50" i="14"/>
  <c r="X50" i="14"/>
  <c r="AB50" i="14"/>
  <c r="AF50" i="14"/>
  <c r="AJ50" i="14"/>
  <c r="B26" i="14"/>
  <c r="F12" i="14"/>
  <c r="J12" i="14"/>
  <c r="N12" i="14"/>
  <c r="R12" i="14"/>
  <c r="V12" i="14"/>
  <c r="Z12" i="14"/>
  <c r="AD12" i="14"/>
  <c r="AH12" i="14"/>
  <c r="AL12" i="14"/>
  <c r="B16" i="14"/>
  <c r="B20" i="14"/>
  <c r="B24" i="14"/>
  <c r="B31" i="14"/>
  <c r="A10" i="14"/>
  <c r="A6" i="14"/>
  <c r="G62" i="14"/>
  <c r="B56" i="14"/>
  <c r="B46" i="14"/>
  <c r="B59" i="14"/>
  <c r="B57" i="14"/>
  <c r="B60" i="14"/>
  <c r="B47" i="14"/>
  <c r="A10" i="15"/>
  <c r="A6" i="15"/>
  <c r="A2" i="15"/>
  <c r="A9" i="15"/>
  <c r="A5" i="15"/>
  <c r="A1" i="15"/>
  <c r="A8" i="15"/>
  <c r="A4" i="15"/>
  <c r="A7" i="15"/>
  <c r="A3" i="15"/>
  <c r="A119" i="15"/>
  <c r="A118" i="15"/>
  <c r="A117" i="15"/>
  <c r="V119" i="15" l="1"/>
  <c r="T118" i="15"/>
  <c r="V118" i="15" s="1"/>
  <c r="V117" i="15"/>
  <c r="S116" i="15"/>
  <c r="R116" i="15"/>
  <c r="Q116" i="15"/>
  <c r="A116" i="15"/>
  <c r="T116" i="15" l="1"/>
  <c r="V116" i="15" s="1"/>
  <c r="Q115" i="15"/>
  <c r="R115" i="15"/>
  <c r="S115" i="15"/>
  <c r="Q114" i="15"/>
  <c r="R114" i="15"/>
  <c r="S114" i="15"/>
  <c r="Q113" i="15"/>
  <c r="R113" i="15"/>
  <c r="S113" i="15"/>
  <c r="P11" i="15"/>
  <c r="A115" i="15"/>
  <c r="A113" i="15"/>
  <c r="A114" i="15"/>
  <c r="T115" i="15" l="1"/>
  <c r="V115" i="15" s="1"/>
  <c r="T114" i="15"/>
  <c r="V114" i="15" s="1"/>
  <c r="T113" i="15"/>
  <c r="V113" i="15" s="1"/>
  <c r="Q87" i="15"/>
  <c r="Q88" i="15"/>
  <c r="Q89" i="15"/>
  <c r="Q90" i="15"/>
  <c r="Q101" i="15"/>
  <c r="Q102" i="15"/>
  <c r="Q105" i="15"/>
  <c r="Q82" i="15"/>
  <c r="Q85" i="15"/>
  <c r="Q86" i="15"/>
  <c r="Q94" i="15"/>
  <c r="Q97" i="15"/>
  <c r="Q98" i="15"/>
  <c r="Q106" i="15"/>
  <c r="Q112" i="15"/>
  <c r="R112" i="15"/>
  <c r="S112" i="15"/>
  <c r="Q92" i="15"/>
  <c r="Q100" i="15"/>
  <c r="Q108" i="15"/>
  <c r="Q84" i="15"/>
  <c r="Q95" i="15"/>
  <c r="Q96" i="15"/>
  <c r="Q99" i="15"/>
  <c r="Q111" i="15"/>
  <c r="R111" i="15"/>
  <c r="S111" i="15"/>
  <c r="Q103" i="15"/>
  <c r="Q109" i="15"/>
  <c r="Q110" i="15"/>
  <c r="R110" i="15"/>
  <c r="S110" i="15"/>
  <c r="R109" i="15"/>
  <c r="S109" i="15"/>
  <c r="Q107" i="15"/>
  <c r="R107" i="15"/>
  <c r="S107" i="15"/>
  <c r="R108" i="15"/>
  <c r="S108" i="15"/>
  <c r="R106" i="15"/>
  <c r="S106" i="15"/>
  <c r="Q93" i="15"/>
  <c r="Q104" i="15"/>
  <c r="R105" i="15"/>
  <c r="S105" i="15"/>
  <c r="Q83" i="15"/>
  <c r="R104" i="15"/>
  <c r="S104" i="15"/>
  <c r="Q91" i="15"/>
  <c r="R103" i="15"/>
  <c r="S103" i="15"/>
  <c r="R102" i="15"/>
  <c r="S102" i="15"/>
  <c r="R101" i="15"/>
  <c r="S101" i="15"/>
  <c r="R100" i="15"/>
  <c r="S100" i="15"/>
  <c r="R99" i="15"/>
  <c r="S99" i="15"/>
  <c r="R98" i="15"/>
  <c r="S98" i="15"/>
  <c r="R97" i="15"/>
  <c r="S97" i="15"/>
  <c r="R96" i="15"/>
  <c r="S96" i="15"/>
  <c r="R95" i="15"/>
  <c r="S95" i="15"/>
  <c r="R94" i="15"/>
  <c r="S94" i="15"/>
  <c r="R93" i="15"/>
  <c r="S93" i="15"/>
  <c r="R92" i="15"/>
  <c r="S92" i="15"/>
  <c r="R91" i="15"/>
  <c r="S91" i="15"/>
  <c r="R90" i="15"/>
  <c r="S90" i="15"/>
  <c r="R89" i="15"/>
  <c r="S89" i="15"/>
  <c r="R88" i="15"/>
  <c r="S88" i="15"/>
  <c r="R87" i="15"/>
  <c r="S87" i="15"/>
  <c r="A87" i="15"/>
  <c r="A103" i="15"/>
  <c r="A88" i="15"/>
  <c r="A105" i="15"/>
  <c r="A101" i="15"/>
  <c r="A102" i="15"/>
  <c r="A89" i="15"/>
  <c r="A107" i="15"/>
  <c r="A109" i="15"/>
  <c r="A98" i="15"/>
  <c r="A86" i="15"/>
  <c r="A99" i="15"/>
  <c r="A112" i="15"/>
  <c r="A97" i="15"/>
  <c r="A110" i="15"/>
  <c r="A90" i="15"/>
  <c r="A111" i="15"/>
  <c r="A100" i="15"/>
  <c r="A92" i="15"/>
  <c r="A108" i="15"/>
  <c r="A93" i="15"/>
  <c r="A95" i="15"/>
  <c r="A91" i="15"/>
  <c r="A96" i="15"/>
  <c r="A104" i="15"/>
  <c r="A106" i="15"/>
  <c r="A94" i="15"/>
  <c r="T112" i="15" l="1"/>
  <c r="V112" i="15" s="1"/>
  <c r="T111" i="15"/>
  <c r="V111" i="15" s="1"/>
  <c r="T110" i="15"/>
  <c r="V110" i="15" s="1"/>
  <c r="T109" i="15"/>
  <c r="V109" i="15" s="1"/>
  <c r="T108" i="15"/>
  <c r="V108" i="15" s="1"/>
  <c r="T107" i="15"/>
  <c r="V107" i="15" s="1"/>
  <c r="T106" i="15"/>
  <c r="V106" i="15" s="1"/>
  <c r="T105" i="15"/>
  <c r="V105" i="15" s="1"/>
  <c r="T104" i="15"/>
  <c r="V104" i="15" s="1"/>
  <c r="T103" i="15"/>
  <c r="V103" i="15" s="1"/>
  <c r="T102" i="15"/>
  <c r="V102" i="15" s="1"/>
  <c r="T101" i="15"/>
  <c r="V101" i="15" s="1"/>
  <c r="T100" i="15"/>
  <c r="V100" i="15" s="1"/>
  <c r="T99" i="15"/>
  <c r="V99" i="15" s="1"/>
  <c r="T98" i="15"/>
  <c r="V98" i="15" s="1"/>
  <c r="T97" i="15"/>
  <c r="V97" i="15" s="1"/>
  <c r="T96" i="15"/>
  <c r="V96" i="15" s="1"/>
  <c r="T95" i="15"/>
  <c r="V95" i="15" s="1"/>
  <c r="T94" i="15"/>
  <c r="V94" i="15" s="1"/>
  <c r="T92" i="15"/>
  <c r="V92" i="15" s="1"/>
  <c r="T93" i="15"/>
  <c r="V93" i="15" s="1"/>
  <c r="T91" i="15"/>
  <c r="V91" i="15" s="1"/>
  <c r="T90" i="15"/>
  <c r="V90" i="15" s="1"/>
  <c r="T88" i="15"/>
  <c r="V88" i="15" s="1"/>
  <c r="T89" i="15"/>
  <c r="V89" i="15" s="1"/>
  <c r="T87" i="15"/>
  <c r="V87" i="15" s="1"/>
  <c r="Q81" i="15"/>
  <c r="R84" i="15"/>
  <c r="S84" i="15"/>
  <c r="R85" i="15"/>
  <c r="S85" i="15"/>
  <c r="R86" i="15"/>
  <c r="S86" i="15"/>
  <c r="Q80" i="15"/>
  <c r="S83" i="15"/>
  <c r="R83" i="15"/>
  <c r="R82" i="15"/>
  <c r="S82" i="15"/>
  <c r="S81" i="15"/>
  <c r="R81" i="15"/>
  <c r="S80" i="15"/>
  <c r="R80" i="15"/>
  <c r="B253" i="14"/>
  <c r="C253" i="14"/>
  <c r="A83" i="15"/>
  <c r="A82" i="15"/>
  <c r="A84" i="15"/>
  <c r="A81" i="15"/>
  <c r="A85" i="15"/>
  <c r="T86" i="15" l="1"/>
  <c r="V86" i="15" s="1"/>
  <c r="T85" i="15"/>
  <c r="V85" i="15" s="1"/>
  <c r="T84" i="15"/>
  <c r="V84" i="15" s="1"/>
  <c r="T83" i="15"/>
  <c r="V83" i="15" s="1"/>
  <c r="T82" i="15"/>
  <c r="V82" i="15" s="1"/>
  <c r="T81" i="15"/>
  <c r="V81" i="15" s="1"/>
  <c r="T80" i="15"/>
  <c r="V80" i="15" s="1"/>
  <c r="S79" i="15"/>
  <c r="R79" i="15"/>
  <c r="Q79" i="15"/>
  <c r="A80" i="15"/>
  <c r="T79" i="15" l="1"/>
  <c r="V79" i="15" s="1"/>
  <c r="S78" i="15"/>
  <c r="R78" i="15"/>
  <c r="Q78" i="15"/>
  <c r="A79" i="15"/>
  <c r="T78" i="15" l="1"/>
  <c r="V78" i="15" s="1"/>
  <c r="S77" i="15"/>
  <c r="R77" i="15"/>
  <c r="Q77" i="15"/>
  <c r="A78" i="15"/>
  <c r="T77" i="15" l="1"/>
  <c r="V77" i="15" s="1"/>
  <c r="S76" i="15"/>
  <c r="R76" i="15"/>
  <c r="Q76" i="15"/>
  <c r="A77" i="15"/>
  <c r="T76" i="15" l="1"/>
  <c r="V76" i="15" s="1"/>
  <c r="S75" i="15"/>
  <c r="R75" i="15"/>
  <c r="Q75" i="15"/>
  <c r="A76" i="15"/>
  <c r="T75" i="15" l="1"/>
  <c r="V75" i="15" s="1"/>
  <c r="S74" i="15"/>
  <c r="R74" i="15"/>
  <c r="Q74" i="15"/>
  <c r="S73" i="15"/>
  <c r="R73" i="15"/>
  <c r="Q73" i="15"/>
  <c r="S72" i="15"/>
  <c r="R72" i="15"/>
  <c r="Q72" i="15"/>
  <c r="S71" i="15"/>
  <c r="R71" i="15"/>
  <c r="Q71" i="15"/>
  <c r="S70" i="15"/>
  <c r="R70" i="15"/>
  <c r="Q70" i="15"/>
  <c r="B240" i="14"/>
  <c r="C223" i="14"/>
  <c r="C222" i="14"/>
  <c r="B228" i="14"/>
  <c r="B230" i="14"/>
  <c r="C236" i="14"/>
  <c r="B244" i="14"/>
  <c r="C230" i="14"/>
  <c r="B237" i="14"/>
  <c r="B229" i="14"/>
  <c r="C246" i="14"/>
  <c r="C210" i="14"/>
  <c r="B242" i="14"/>
  <c r="B211" i="14"/>
  <c r="B243" i="14"/>
  <c r="C205" i="14"/>
  <c r="B225" i="14"/>
  <c r="B233" i="14"/>
  <c r="B241" i="14"/>
  <c r="C231" i="14"/>
  <c r="B204" i="14"/>
  <c r="C208" i="14"/>
  <c r="B246" i="14"/>
  <c r="B232" i="14"/>
  <c r="C200" i="14"/>
  <c r="B200" i="14"/>
  <c r="B216" i="14"/>
  <c r="B203" i="14"/>
  <c r="C244" i="14"/>
  <c r="C216" i="14"/>
  <c r="C235" i="14"/>
  <c r="C233" i="14"/>
  <c r="B208" i="14"/>
  <c r="C248" i="14"/>
  <c r="B248" i="14"/>
  <c r="C221" i="14"/>
  <c r="B238" i="14"/>
  <c r="B227" i="14"/>
  <c r="B206" i="14"/>
  <c r="C243" i="14"/>
  <c r="B239" i="14"/>
  <c r="B221" i="14"/>
  <c r="C237" i="14"/>
  <c r="C206" i="14"/>
  <c r="C232" i="14"/>
  <c r="C238" i="14"/>
  <c r="C252" i="14"/>
  <c r="B201" i="14"/>
  <c r="C203" i="14"/>
  <c r="B222" i="14"/>
  <c r="C213" i="14"/>
  <c r="C220" i="14"/>
  <c r="B247" i="14"/>
  <c r="B249" i="14"/>
  <c r="C245" i="14"/>
  <c r="B245" i="14"/>
  <c r="B235" i="14"/>
  <c r="B252" i="14"/>
  <c r="C239" i="14"/>
  <c r="B202" i="14"/>
  <c r="C214" i="14"/>
  <c r="B209" i="14"/>
  <c r="C219" i="14"/>
  <c r="C228" i="14"/>
  <c r="B250" i="14"/>
  <c r="C202" i="14"/>
  <c r="C250" i="14"/>
  <c r="B223" i="14"/>
  <c r="B217" i="14"/>
  <c r="B214" i="14"/>
  <c r="C249" i="14"/>
  <c r="C240" i="14"/>
  <c r="C225" i="14"/>
  <c r="C217" i="14"/>
  <c r="C242" i="14"/>
  <c r="C218" i="14"/>
  <c r="C215" i="14"/>
  <c r="C212" i="14"/>
  <c r="B212" i="14"/>
  <c r="C251" i="14"/>
  <c r="C234" i="14"/>
  <c r="C211" i="14"/>
  <c r="C229" i="14"/>
  <c r="B210" i="14"/>
  <c r="C226" i="14"/>
  <c r="B234" i="14"/>
  <c r="B207" i="14"/>
  <c r="C201" i="14"/>
  <c r="B205" i="14"/>
  <c r="C241" i="14"/>
  <c r="B224" i="14"/>
  <c r="B236" i="14"/>
  <c r="B215" i="14"/>
  <c r="B220" i="14"/>
  <c r="C209" i="14"/>
  <c r="C224" i="14"/>
  <c r="B219" i="14"/>
  <c r="C207" i="14"/>
  <c r="C204" i="14"/>
  <c r="B251" i="14"/>
  <c r="C227" i="14"/>
  <c r="B218" i="14"/>
  <c r="B226" i="14"/>
  <c r="C247" i="14"/>
  <c r="B231" i="14"/>
  <c r="B213" i="14"/>
  <c r="A75" i="15"/>
  <c r="T70" i="15" l="1"/>
  <c r="V70" i="15" s="1"/>
  <c r="T74" i="15"/>
  <c r="V74" i="15" s="1"/>
  <c r="T71" i="15"/>
  <c r="V71" i="15" s="1"/>
  <c r="T73" i="15"/>
  <c r="V73" i="15" s="1"/>
  <c r="T72" i="15"/>
  <c r="V72" i="15" s="1"/>
  <c r="A74" i="15"/>
  <c r="S69" i="15" l="1"/>
  <c r="R69" i="15"/>
  <c r="Q69" i="15"/>
  <c r="A72" i="15"/>
  <c r="A73" i="15"/>
  <c r="A71" i="15"/>
  <c r="A70" i="15"/>
  <c r="T69" i="15" l="1"/>
  <c r="V69" i="15" s="1"/>
  <c r="S68" i="15"/>
  <c r="R68" i="15"/>
  <c r="Q68" i="15"/>
  <c r="A69" i="15"/>
  <c r="N11" i="15"/>
  <c r="T68" i="15" l="1"/>
  <c r="V68" i="15" s="1"/>
  <c r="S67" i="15"/>
  <c r="R67" i="15"/>
  <c r="Q67" i="15"/>
  <c r="A68" i="15"/>
  <c r="T67" i="15" l="1"/>
  <c r="V67" i="15" s="1"/>
  <c r="S66" i="15"/>
  <c r="R66" i="15"/>
  <c r="Q66" i="15"/>
  <c r="A67" i="15"/>
  <c r="T66" i="15" l="1"/>
  <c r="V66" i="15" s="1"/>
  <c r="S65" i="15"/>
  <c r="R65" i="15"/>
  <c r="Q65" i="15"/>
  <c r="A66" i="15"/>
  <c r="T65" i="15" l="1"/>
  <c r="V65" i="15" s="1"/>
  <c r="S61" i="15"/>
  <c r="S62" i="15"/>
  <c r="S63" i="15"/>
  <c r="S64" i="15"/>
  <c r="R61" i="15"/>
  <c r="R62" i="15"/>
  <c r="R63" i="15"/>
  <c r="R64" i="15"/>
  <c r="Q61" i="15"/>
  <c r="Q62" i="15"/>
  <c r="Q63" i="15"/>
  <c r="Q64" i="15"/>
  <c r="A64" i="15"/>
  <c r="A62" i="15"/>
  <c r="A65" i="15"/>
  <c r="A63" i="15"/>
  <c r="T64" i="15" l="1"/>
  <c r="V64" i="15" s="1"/>
  <c r="T62" i="15"/>
  <c r="V62" i="15" s="1"/>
  <c r="T63" i="15"/>
  <c r="V63" i="15" s="1"/>
  <c r="T61" i="15"/>
  <c r="V61" i="15" s="1"/>
  <c r="S60" i="15"/>
  <c r="R60" i="15"/>
  <c r="Q60" i="15"/>
  <c r="B190" i="14"/>
  <c r="B188" i="14"/>
  <c r="B145" i="14"/>
  <c r="C182" i="14"/>
  <c r="C195" i="14"/>
  <c r="B193" i="14"/>
  <c r="B191" i="14"/>
  <c r="C146" i="14"/>
  <c r="C190" i="14"/>
  <c r="C138" i="14"/>
  <c r="B144" i="14"/>
  <c r="B148" i="14"/>
  <c r="B136" i="14"/>
  <c r="B189" i="14"/>
  <c r="B146" i="14"/>
  <c r="B169" i="14"/>
  <c r="C144" i="14"/>
  <c r="C150" i="14"/>
  <c r="B137" i="14"/>
  <c r="B143" i="14"/>
  <c r="C179" i="14"/>
  <c r="B151" i="14"/>
  <c r="B158" i="14"/>
  <c r="B175" i="14"/>
  <c r="C160" i="14"/>
  <c r="C183" i="14"/>
  <c r="C156" i="14"/>
  <c r="B171" i="14"/>
  <c r="C137" i="14"/>
  <c r="C173" i="14"/>
  <c r="C196" i="14"/>
  <c r="C141" i="14"/>
  <c r="C189" i="14"/>
  <c r="C176" i="14"/>
  <c r="B199" i="14"/>
  <c r="C199" i="14"/>
  <c r="C171" i="14"/>
  <c r="C136" i="14"/>
  <c r="C197" i="14"/>
  <c r="B160" i="14"/>
  <c r="B153" i="14"/>
  <c r="C193" i="14"/>
  <c r="C168" i="14"/>
  <c r="C157" i="14"/>
  <c r="C185" i="14"/>
  <c r="B197" i="14"/>
  <c r="B176" i="14"/>
  <c r="B139" i="14"/>
  <c r="B159" i="14"/>
  <c r="B174" i="14"/>
  <c r="C177" i="14"/>
  <c r="C151" i="14"/>
  <c r="C191" i="14"/>
  <c r="B196" i="14"/>
  <c r="B192" i="14"/>
  <c r="B178" i="14"/>
  <c r="B140" i="14"/>
  <c r="B161" i="14"/>
  <c r="C155" i="14"/>
  <c r="C180" i="14"/>
  <c r="B198" i="14"/>
  <c r="C134" i="14"/>
  <c r="B157" i="14"/>
  <c r="B185" i="14"/>
  <c r="B194" i="14"/>
  <c r="C159" i="14"/>
  <c r="C174" i="14"/>
  <c r="C194" i="14"/>
  <c r="C170" i="14"/>
  <c r="C152" i="14"/>
  <c r="B150" i="14"/>
  <c r="B141" i="14"/>
  <c r="B184" i="14"/>
  <c r="B134" i="14"/>
  <c r="C165" i="14"/>
  <c r="C145" i="14"/>
  <c r="B138" i="14"/>
  <c r="C143" i="14"/>
  <c r="C169" i="14"/>
  <c r="B149" i="14"/>
  <c r="C161" i="14"/>
  <c r="C178" i="14"/>
  <c r="B152" i="14"/>
  <c r="C148" i="14"/>
  <c r="C162" i="14"/>
  <c r="C192" i="14"/>
  <c r="C186" i="14"/>
  <c r="C167" i="14"/>
  <c r="C154" i="14"/>
  <c r="C166" i="14"/>
  <c r="B180" i="14"/>
  <c r="C198" i="14"/>
  <c r="C188" i="14"/>
  <c r="B173" i="14"/>
  <c r="B147" i="14"/>
  <c r="B142" i="14"/>
  <c r="B177" i="14"/>
  <c r="B168" i="14"/>
  <c r="C175" i="14"/>
  <c r="B155" i="14"/>
  <c r="C158" i="14"/>
  <c r="B166" i="14"/>
  <c r="B165" i="14"/>
  <c r="B187" i="14"/>
  <c r="C139" i="14"/>
  <c r="C142" i="14"/>
  <c r="B167" i="14"/>
  <c r="B186" i="14"/>
  <c r="C140" i="14"/>
  <c r="B181" i="14"/>
  <c r="B179" i="14"/>
  <c r="B172" i="14"/>
  <c r="B156" i="14"/>
  <c r="C149" i="14"/>
  <c r="C172" i="14"/>
  <c r="C147" i="14"/>
  <c r="C153" i="14"/>
  <c r="C163" i="14"/>
  <c r="B183" i="14"/>
  <c r="C181" i="14"/>
  <c r="B182" i="14"/>
  <c r="B163" i="14"/>
  <c r="C184" i="14"/>
  <c r="B195" i="14"/>
  <c r="B164" i="14"/>
  <c r="C187" i="14"/>
  <c r="B154" i="14"/>
  <c r="C164" i="14"/>
  <c r="B170" i="14"/>
  <c r="B162" i="14"/>
  <c r="A61" i="15"/>
  <c r="A60" i="15"/>
  <c r="T60" i="15" l="1"/>
  <c r="V60" i="15" s="1"/>
  <c r="Q59" i="15"/>
  <c r="R59" i="15"/>
  <c r="S59" i="15"/>
  <c r="T59" i="15" l="1"/>
  <c r="V59" i="15" s="1"/>
  <c r="Q58" i="15"/>
  <c r="R58" i="15"/>
  <c r="S58" i="15"/>
  <c r="T58" i="15" l="1"/>
  <c r="V58" i="15" s="1"/>
  <c r="R57" i="15"/>
  <c r="S57" i="15"/>
  <c r="Q57" i="15"/>
  <c r="T57" i="15" l="1"/>
  <c r="V57" i="15" s="1"/>
  <c r="R56" i="15"/>
  <c r="S56" i="15" l="1"/>
  <c r="T56" i="15" s="1"/>
  <c r="Q56" i="15"/>
  <c r="B68" i="14"/>
  <c r="B77" i="14"/>
  <c r="B80" i="14"/>
  <c r="C68" i="14"/>
  <c r="C77" i="14"/>
  <c r="C74" i="14"/>
  <c r="B79" i="14"/>
  <c r="C75" i="14"/>
  <c r="B75" i="14"/>
  <c r="C81" i="14"/>
  <c r="B67" i="14"/>
  <c r="C76" i="14"/>
  <c r="B76" i="14"/>
  <c r="B74" i="14"/>
  <c r="C71" i="14"/>
  <c r="B73" i="14"/>
  <c r="C73" i="14"/>
  <c r="C69" i="14"/>
  <c r="B69" i="14"/>
  <c r="C79" i="14"/>
  <c r="B81" i="14"/>
  <c r="C67" i="14"/>
  <c r="C80" i="14"/>
  <c r="B70" i="14"/>
  <c r="B72" i="14"/>
  <c r="B78" i="14"/>
  <c r="C72" i="14"/>
  <c r="C70" i="14"/>
  <c r="B71" i="14"/>
  <c r="C78" i="14"/>
  <c r="V56" i="15" l="1"/>
  <c r="R13" i="15"/>
  <c r="S13" i="15"/>
  <c r="R14" i="15"/>
  <c r="S14" i="15"/>
  <c r="R15" i="15"/>
  <c r="S15" i="15"/>
  <c r="R16" i="15"/>
  <c r="S16" i="15"/>
  <c r="R17" i="15"/>
  <c r="S17" i="15"/>
  <c r="R18" i="15"/>
  <c r="S18" i="15"/>
  <c r="R19" i="15"/>
  <c r="S19" i="15"/>
  <c r="R20" i="15"/>
  <c r="S20" i="15"/>
  <c r="R21" i="15"/>
  <c r="S21" i="15"/>
  <c r="R22" i="15"/>
  <c r="S22" i="15"/>
  <c r="R23" i="15"/>
  <c r="S23" i="15"/>
  <c r="R24" i="15"/>
  <c r="S24" i="15"/>
  <c r="R25" i="15"/>
  <c r="S25" i="15"/>
  <c r="R26" i="15"/>
  <c r="S26" i="15"/>
  <c r="R27" i="15"/>
  <c r="S27" i="15"/>
  <c r="R28" i="15"/>
  <c r="S28" i="15"/>
  <c r="R29" i="15"/>
  <c r="S29" i="15"/>
  <c r="R30" i="15"/>
  <c r="S30" i="15"/>
  <c r="R31" i="15"/>
  <c r="S31" i="15"/>
  <c r="R32" i="15"/>
  <c r="S32" i="15"/>
  <c r="R33" i="15"/>
  <c r="S33" i="15"/>
  <c r="R34" i="15"/>
  <c r="S34" i="15"/>
  <c r="R35" i="15"/>
  <c r="S35" i="15"/>
  <c r="R36" i="15"/>
  <c r="S36" i="15"/>
  <c r="R37" i="15"/>
  <c r="S37" i="15"/>
  <c r="R38" i="15"/>
  <c r="S38" i="15"/>
  <c r="R39" i="15"/>
  <c r="S39" i="15"/>
  <c r="R40" i="15"/>
  <c r="S40" i="15"/>
  <c r="R41" i="15"/>
  <c r="S41" i="15"/>
  <c r="R42" i="15"/>
  <c r="S42" i="15"/>
  <c r="R43" i="15"/>
  <c r="S43" i="15"/>
  <c r="R44" i="15"/>
  <c r="S44" i="15"/>
  <c r="R45" i="15"/>
  <c r="S45" i="15"/>
  <c r="R46" i="15"/>
  <c r="S46" i="15"/>
  <c r="R47" i="15"/>
  <c r="S47" i="15"/>
  <c r="R48" i="15"/>
  <c r="S48" i="15"/>
  <c r="R49" i="15"/>
  <c r="S49" i="15"/>
  <c r="R50" i="15"/>
  <c r="S50" i="15"/>
  <c r="R51" i="15"/>
  <c r="S51" i="15"/>
  <c r="R52" i="15"/>
  <c r="S52" i="15"/>
  <c r="R53" i="15"/>
  <c r="S53" i="15"/>
  <c r="R54" i="15"/>
  <c r="S54" i="15"/>
  <c r="R55" i="15"/>
  <c r="S55" i="15"/>
  <c r="S12" i="15"/>
  <c r="R12" i="15"/>
  <c r="Q13" i="15"/>
  <c r="Q14" i="15"/>
  <c r="Q15" i="15"/>
  <c r="Q16" i="15"/>
  <c r="Q17" i="15"/>
  <c r="Q18" i="15"/>
  <c r="Q19" i="15"/>
  <c r="Q20" i="15"/>
  <c r="Q21" i="15"/>
  <c r="Q22" i="15"/>
  <c r="Q23" i="15"/>
  <c r="Q24" i="15"/>
  <c r="Q25" i="15"/>
  <c r="Q26" i="15"/>
  <c r="Q27" i="15"/>
  <c r="Q28" i="15"/>
  <c r="Q29" i="15"/>
  <c r="Q30" i="15"/>
  <c r="Q31" i="15"/>
  <c r="Q32" i="15"/>
  <c r="Q33" i="15"/>
  <c r="Q34" i="15"/>
  <c r="Q35" i="15"/>
  <c r="Q36" i="15"/>
  <c r="Q37" i="15"/>
  <c r="Q38" i="15"/>
  <c r="Q39" i="15"/>
  <c r="Q40" i="15"/>
  <c r="Q41" i="15"/>
  <c r="Q42" i="15"/>
  <c r="Q43" i="15"/>
  <c r="Q44" i="15"/>
  <c r="Q45" i="15"/>
  <c r="Q46" i="15"/>
  <c r="Q47" i="15"/>
  <c r="Q48" i="15"/>
  <c r="Q49" i="15"/>
  <c r="Q50" i="15"/>
  <c r="Q51" i="15"/>
  <c r="Q52" i="15"/>
  <c r="Q53" i="15"/>
  <c r="Q54" i="15"/>
  <c r="Q55" i="15"/>
  <c r="Q12" i="15"/>
  <c r="C90" i="14"/>
  <c r="C115" i="14"/>
  <c r="B96" i="14"/>
  <c r="C120" i="14"/>
  <c r="C93" i="14"/>
  <c r="B108" i="14"/>
  <c r="B131" i="14"/>
  <c r="C92" i="14"/>
  <c r="B99" i="14"/>
  <c r="C128" i="14"/>
  <c r="C102" i="14"/>
  <c r="B89" i="14"/>
  <c r="B95" i="14"/>
  <c r="C85" i="14"/>
  <c r="C64" i="14"/>
  <c r="C91" i="14"/>
  <c r="C104" i="14"/>
  <c r="C122" i="14"/>
  <c r="B85" i="14"/>
  <c r="C100" i="14"/>
  <c r="C88" i="14"/>
  <c r="C108" i="14"/>
  <c r="B84" i="14"/>
  <c r="B126" i="14"/>
  <c r="C86" i="14"/>
  <c r="C84" i="14"/>
  <c r="B104" i="14"/>
  <c r="B125" i="14"/>
  <c r="B101" i="14"/>
  <c r="C103" i="14"/>
  <c r="B97" i="14"/>
  <c r="B82" i="14"/>
  <c r="B122" i="14"/>
  <c r="C82" i="14"/>
  <c r="F62" i="14"/>
  <c r="C105" i="14"/>
  <c r="C101" i="14"/>
  <c r="B121" i="14"/>
  <c r="B107" i="14"/>
  <c r="C99" i="14"/>
  <c r="B93" i="14"/>
  <c r="C133" i="14"/>
  <c r="B116" i="14"/>
  <c r="B105" i="14"/>
  <c r="C65" i="14"/>
  <c r="B120" i="14"/>
  <c r="B123" i="14"/>
  <c r="C114" i="14"/>
  <c r="C94" i="14"/>
  <c r="C117" i="14"/>
  <c r="B100" i="14"/>
  <c r="B128" i="14"/>
  <c r="B133" i="14"/>
  <c r="B113" i="14"/>
  <c r="C97" i="14"/>
  <c r="D62" i="14"/>
  <c r="C110" i="14"/>
  <c r="B115" i="14"/>
  <c r="C111" i="14"/>
  <c r="C106" i="14"/>
  <c r="B65" i="14"/>
  <c r="C125" i="14"/>
  <c r="C126" i="14"/>
  <c r="C66" i="14"/>
  <c r="C113" i="14"/>
  <c r="C96" i="14"/>
  <c r="B88" i="14"/>
  <c r="C107" i="14"/>
  <c r="B106" i="14"/>
  <c r="C132" i="14"/>
  <c r="B98" i="14"/>
  <c r="B127" i="14"/>
  <c r="E62" i="14"/>
  <c r="B110" i="14"/>
  <c r="B135" i="14"/>
  <c r="C130" i="14"/>
  <c r="C118" i="14"/>
  <c r="C109" i="14"/>
  <c r="B118" i="14"/>
  <c r="C89" i="14"/>
  <c r="B90" i="14"/>
  <c r="B64" i="14"/>
  <c r="B92" i="14"/>
  <c r="B112" i="14"/>
  <c r="B83" i="14"/>
  <c r="C121" i="14"/>
  <c r="C63" i="14"/>
  <c r="C116" i="14"/>
  <c r="B102" i="14"/>
  <c r="B63" i="14"/>
  <c r="C112" i="14"/>
  <c r="B109" i="14"/>
  <c r="B132" i="14"/>
  <c r="C95" i="14"/>
  <c r="C123" i="14"/>
  <c r="C119" i="14"/>
  <c r="C131" i="14"/>
  <c r="C87" i="14"/>
  <c r="B91" i="14"/>
  <c r="B130" i="14"/>
  <c r="B86" i="14"/>
  <c r="B129" i="14"/>
  <c r="C124" i="14"/>
  <c r="B114" i="14"/>
  <c r="C83" i="14"/>
  <c r="B119" i="14"/>
  <c r="C135" i="14"/>
  <c r="B117" i="14"/>
  <c r="C127" i="14"/>
  <c r="B111" i="14"/>
  <c r="B66" i="14"/>
  <c r="C98" i="14"/>
  <c r="B124" i="14"/>
  <c r="B94" i="14"/>
  <c r="B103" i="14"/>
  <c r="B87" i="14"/>
  <c r="C129" i="14"/>
  <c r="A21" i="15"/>
  <c r="A38" i="15"/>
  <c r="A29" i="15"/>
  <c r="A20" i="15"/>
  <c r="A50" i="15"/>
  <c r="A35" i="15"/>
  <c r="A17" i="15"/>
  <c r="A14" i="15"/>
  <c r="A42" i="15"/>
  <c r="C11" i="15"/>
  <c r="I11" i="15"/>
  <c r="H11" i="15"/>
  <c r="A27" i="15"/>
  <c r="A37" i="15"/>
  <c r="A24" i="15"/>
  <c r="A23" i="15"/>
  <c r="A44" i="15"/>
  <c r="A52" i="15"/>
  <c r="L11" i="15"/>
  <c r="A47" i="15"/>
  <c r="A25" i="15"/>
  <c r="A54" i="15"/>
  <c r="A58" i="15"/>
  <c r="A15" i="15"/>
  <c r="A57" i="15"/>
  <c r="A55" i="15"/>
  <c r="J11" i="15"/>
  <c r="F11" i="15"/>
  <c r="A12" i="15"/>
  <c r="A32" i="15"/>
  <c r="A33" i="15"/>
  <c r="A56" i="15"/>
  <c r="A30" i="15"/>
  <c r="A49" i="15"/>
  <c r="O11" i="15"/>
  <c r="A13" i="15"/>
  <c r="A16" i="15"/>
  <c r="A22" i="15"/>
  <c r="A18" i="15"/>
  <c r="A34" i="15"/>
  <c r="A28" i="15"/>
  <c r="A40" i="15"/>
  <c r="G11" i="15"/>
  <c r="B11" i="15"/>
  <c r="K11" i="15"/>
  <c r="A36" i="15"/>
  <c r="A41" i="15"/>
  <c r="A53" i="15"/>
  <c r="D11" i="15"/>
  <c r="M11" i="15"/>
  <c r="A51" i="15"/>
  <c r="E11" i="15"/>
  <c r="A39" i="15"/>
  <c r="A19" i="15"/>
  <c r="A48" i="15"/>
  <c r="A46" i="15"/>
  <c r="A43" i="15"/>
  <c r="A45" i="15"/>
  <c r="A26" i="15"/>
  <c r="A31" i="15"/>
  <c r="A59" i="15"/>
  <c r="T43" i="15" l="1"/>
  <c r="V43" i="15" s="1"/>
  <c r="T45" i="15"/>
  <c r="V45" i="15" s="1"/>
  <c r="T49" i="15"/>
  <c r="V49" i="15" s="1"/>
  <c r="T53" i="15"/>
  <c r="V53" i="15" s="1"/>
  <c r="T51" i="15"/>
  <c r="V51" i="15" s="1"/>
  <c r="T39" i="15"/>
  <c r="V39" i="15" s="1"/>
  <c r="T37" i="15"/>
  <c r="V37" i="15" s="1"/>
  <c r="T13" i="15"/>
  <c r="V13" i="15" s="1"/>
  <c r="T26" i="15"/>
  <c r="V26" i="15" s="1"/>
  <c r="T21" i="15"/>
  <c r="V21" i="15" s="1"/>
  <c r="T12" i="15"/>
  <c r="V12" i="15" s="1"/>
  <c r="T16" i="15"/>
  <c r="V16" i="15" s="1"/>
  <c r="T17" i="15"/>
  <c r="V17" i="15" s="1"/>
  <c r="T48" i="15"/>
  <c r="V48" i="15" s="1"/>
  <c r="T44" i="15"/>
  <c r="V44" i="15" s="1"/>
  <c r="T32" i="15"/>
  <c r="V32" i="15" s="1"/>
  <c r="T19" i="15"/>
  <c r="V19" i="15" s="1"/>
  <c r="T15" i="15"/>
  <c r="V15" i="15" s="1"/>
  <c r="T25" i="15"/>
  <c r="V25" i="15" s="1"/>
  <c r="T42" i="15"/>
  <c r="V42" i="15" s="1"/>
  <c r="T33" i="15"/>
  <c r="V33" i="15" s="1"/>
  <c r="T29" i="15"/>
  <c r="V29" i="15" s="1"/>
  <c r="T27" i="15"/>
  <c r="V27" i="15" s="1"/>
  <c r="T23" i="15"/>
  <c r="V23" i="15" s="1"/>
  <c r="T40" i="15"/>
  <c r="V40" i="15" s="1"/>
  <c r="T55" i="15"/>
  <c r="V55" i="15" s="1"/>
  <c r="T41" i="15"/>
  <c r="V41" i="15" s="1"/>
  <c r="T28" i="15"/>
  <c r="V28" i="15" s="1"/>
  <c r="T24" i="15"/>
  <c r="V24" i="15" s="1"/>
  <c r="T18" i="15"/>
  <c r="V18" i="15" s="1"/>
  <c r="T14" i="15"/>
  <c r="V14" i="15" s="1"/>
  <c r="T50" i="15"/>
  <c r="V50" i="15" s="1"/>
  <c r="T34" i="15"/>
  <c r="V34" i="15" s="1"/>
  <c r="T46" i="15"/>
  <c r="V46" i="15" s="1"/>
  <c r="T30" i="15"/>
  <c r="V30" i="15" s="1"/>
  <c r="T35" i="15"/>
  <c r="V35" i="15" s="1"/>
  <c r="T54" i="15"/>
  <c r="V54" i="15" s="1"/>
  <c r="T52" i="15"/>
  <c r="V52" i="15" s="1"/>
  <c r="T47" i="15"/>
  <c r="V47" i="15" s="1"/>
  <c r="T38" i="15"/>
  <c r="V38" i="15" s="1"/>
  <c r="T36" i="15"/>
  <c r="V36" i="15" s="1"/>
  <c r="T31" i="15"/>
  <c r="V31" i="15" s="1"/>
  <c r="T22" i="15"/>
  <c r="V22" i="15" s="1"/>
  <c r="T20" i="15"/>
  <c r="V20" i="15" s="1"/>
  <c r="K205" i="14"/>
  <c r="K206" i="14"/>
  <c r="K207" i="14"/>
  <c r="AQ17" i="14" l="1"/>
  <c r="AQ18" i="14"/>
  <c r="AQ19" i="14"/>
  <c r="AQ20" i="14"/>
  <c r="C44" i="14"/>
  <c r="AP20" i="14"/>
  <c r="AO20" i="14"/>
  <c r="AN20" i="14"/>
  <c r="AM20" i="14"/>
  <c r="D41" i="14"/>
  <c r="AP19" i="14"/>
  <c r="AO19" i="14"/>
  <c r="AN19" i="14"/>
  <c r="AM19" i="14"/>
  <c r="D40" i="14"/>
  <c r="AP18" i="14"/>
  <c r="AO18" i="14"/>
  <c r="AN18" i="14"/>
  <c r="AM18" i="14"/>
  <c r="D39" i="14"/>
  <c r="AP17" i="14"/>
  <c r="AO17" i="14"/>
  <c r="AN17" i="14"/>
  <c r="AM17" i="14"/>
  <c r="D38" i="14"/>
  <c r="J8" i="2"/>
  <c r="J18" i="2"/>
  <c r="N13" i="2"/>
  <c r="P19" i="2"/>
  <c r="C18" i="2"/>
  <c r="Q18" i="2" s="1"/>
  <c r="U18" i="2" s="1"/>
  <c r="D18" i="2"/>
  <c r="E18" i="2"/>
  <c r="F18" i="2"/>
  <c r="R18" i="2"/>
  <c r="G18" i="2"/>
  <c r="H18" i="2"/>
  <c r="I18" i="2"/>
  <c r="S18" i="2" s="1"/>
  <c r="K18" i="2"/>
  <c r="L18" i="2"/>
  <c r="M18" i="2"/>
  <c r="N18" i="2"/>
  <c r="C13" i="2"/>
  <c r="Q13" i="2" s="1"/>
  <c r="U13" i="2" s="1"/>
  <c r="D13" i="2"/>
  <c r="D15" i="2" s="1"/>
  <c r="E13" i="2"/>
  <c r="E15" i="2" s="1"/>
  <c r="F13" i="2"/>
  <c r="G13" i="2"/>
  <c r="G15" i="2" s="1"/>
  <c r="H13" i="2"/>
  <c r="I13" i="2"/>
  <c r="S13" i="2" s="1"/>
  <c r="J13" i="2"/>
  <c r="J15" i="2" s="1"/>
  <c r="K13" i="2"/>
  <c r="L13" i="2"/>
  <c r="L15" i="2" s="1"/>
  <c r="M13" i="2"/>
  <c r="C8" i="2"/>
  <c r="Q8" i="2" s="1"/>
  <c r="D8" i="2"/>
  <c r="E8" i="2"/>
  <c r="F8" i="2"/>
  <c r="R8" i="2"/>
  <c r="G8" i="2"/>
  <c r="H8" i="2"/>
  <c r="I8" i="2"/>
  <c r="S8" i="2" s="1"/>
  <c r="K8" i="2"/>
  <c r="L8" i="2"/>
  <c r="T8" i="2"/>
  <c r="M8" i="2"/>
  <c r="N8" i="2"/>
  <c r="C10" i="2"/>
  <c r="Q10" i="2" s="1"/>
  <c r="U10" i="2" s="1"/>
  <c r="D10" i="2"/>
  <c r="E10" i="2"/>
  <c r="F10" i="2"/>
  <c r="R10" i="2" s="1"/>
  <c r="G10" i="2"/>
  <c r="H10" i="2"/>
  <c r="I10" i="2"/>
  <c r="S10" i="2" s="1"/>
  <c r="J10" i="2"/>
  <c r="K10" i="2"/>
  <c r="L10" i="2"/>
  <c r="T10" i="2" s="1"/>
  <c r="M10" i="2"/>
  <c r="N10" i="2"/>
  <c r="L9" i="2"/>
  <c r="T9" i="2" s="1"/>
  <c r="H9" i="2"/>
  <c r="D9" i="2"/>
  <c r="K9" i="2"/>
  <c r="C9" i="2"/>
  <c r="O9" i="2" s="1"/>
  <c r="N7" i="2"/>
  <c r="N11" i="2" s="1"/>
  <c r="N9" i="2"/>
  <c r="J9" i="2"/>
  <c r="G7" i="2"/>
  <c r="G11" i="2" s="1"/>
  <c r="M9" i="2"/>
  <c r="I9" i="2"/>
  <c r="S9" i="2" s="1"/>
  <c r="E9" i="2"/>
  <c r="F7" i="2"/>
  <c r="F11" i="2" s="1"/>
  <c r="F9" i="2"/>
  <c r="R9" i="2"/>
  <c r="M7" i="2"/>
  <c r="M11" i="2" s="1"/>
  <c r="M19" i="2" s="1"/>
  <c r="M21" i="2" s="1"/>
  <c r="D7" i="2"/>
  <c r="D11" i="2" s="1"/>
  <c r="L7" i="2"/>
  <c r="T7" i="2"/>
  <c r="J7" i="2"/>
  <c r="C7" i="2"/>
  <c r="Q7" i="2" s="1"/>
  <c r="U7" i="2" s="1"/>
  <c r="U15" i="2" s="1"/>
  <c r="O7" i="2"/>
  <c r="O15" i="2" s="1"/>
  <c r="G9" i="2"/>
  <c r="K7" i="2"/>
  <c r="K11" i="2" s="1"/>
  <c r="I7" i="2"/>
  <c r="I11" i="2" s="1"/>
  <c r="S7" i="2"/>
  <c r="H7" i="2"/>
  <c r="H15" i="2" s="1"/>
  <c r="E7" i="2"/>
  <c r="E11" i="2" s="1"/>
  <c r="L11" i="2"/>
  <c r="T11" i="2" s="1"/>
  <c r="J11" i="2"/>
  <c r="J19" i="2" s="1"/>
  <c r="J21" i="2" s="1"/>
  <c r="Q9" i="2"/>
  <c r="U9" i="2" s="1"/>
  <c r="C15" i="2"/>
  <c r="C11" i="2"/>
  <c r="C16" i="2" s="1"/>
  <c r="I15" i="2"/>
  <c r="R7" i="2"/>
  <c r="O13" i="2"/>
  <c r="O11" i="2"/>
  <c r="K199" i="14"/>
  <c r="K200" i="14"/>
  <c r="K194" i="14"/>
  <c r="K71" i="14"/>
  <c r="K87" i="14"/>
  <c r="K103" i="14"/>
  <c r="K119" i="14"/>
  <c r="K135" i="14"/>
  <c r="K151" i="14"/>
  <c r="K167" i="14"/>
  <c r="K183" i="14"/>
  <c r="K156" i="14"/>
  <c r="K172" i="14"/>
  <c r="K188" i="14"/>
  <c r="K72" i="14"/>
  <c r="K88" i="14"/>
  <c r="K104" i="14"/>
  <c r="K120" i="14"/>
  <c r="K136" i="14"/>
  <c r="K65" i="14"/>
  <c r="K81" i="14"/>
  <c r="K97" i="14"/>
  <c r="K113" i="14"/>
  <c r="K129" i="14"/>
  <c r="K145" i="14"/>
  <c r="K161" i="14"/>
  <c r="K177" i="14"/>
  <c r="K193" i="14"/>
  <c r="K78" i="14"/>
  <c r="K94" i="14"/>
  <c r="K110" i="14"/>
  <c r="K126" i="14"/>
  <c r="K142" i="14"/>
  <c r="K158" i="14"/>
  <c r="K174" i="14"/>
  <c r="K190" i="14"/>
  <c r="K92" i="14"/>
  <c r="K140" i="14"/>
  <c r="K69" i="14"/>
  <c r="K101" i="14"/>
  <c r="K117" i="14"/>
  <c r="K149" i="14"/>
  <c r="K181" i="14"/>
  <c r="K66" i="14"/>
  <c r="K98" i="14"/>
  <c r="K130" i="14"/>
  <c r="K162" i="14"/>
  <c r="H63" i="14"/>
  <c r="K197" i="14"/>
  <c r="K95" i="14"/>
  <c r="K143" i="14"/>
  <c r="K175" i="14"/>
  <c r="K180" i="14"/>
  <c r="K96" i="14"/>
  <c r="K112" i="14"/>
  <c r="K105" i="14"/>
  <c r="K153" i="14"/>
  <c r="K70" i="14"/>
  <c r="K118" i="14"/>
  <c r="K150" i="14"/>
  <c r="K203" i="14"/>
  <c r="K201" i="14"/>
  <c r="K195" i="14"/>
  <c r="K75" i="14"/>
  <c r="K91" i="14"/>
  <c r="K107" i="14"/>
  <c r="K123" i="14"/>
  <c r="K139" i="14"/>
  <c r="K155" i="14"/>
  <c r="K171" i="14"/>
  <c r="K187" i="14"/>
  <c r="K160" i="14"/>
  <c r="K176" i="14"/>
  <c r="K192" i="14"/>
  <c r="K76" i="14"/>
  <c r="K108" i="14"/>
  <c r="K124" i="14"/>
  <c r="K85" i="14"/>
  <c r="K133" i="14"/>
  <c r="K165" i="14"/>
  <c r="K82" i="14"/>
  <c r="K114" i="14"/>
  <c r="K178" i="14"/>
  <c r="K196" i="14"/>
  <c r="K111" i="14"/>
  <c r="K159" i="14"/>
  <c r="K164" i="14"/>
  <c r="K80" i="14"/>
  <c r="K128" i="14"/>
  <c r="K73" i="14"/>
  <c r="K121" i="14"/>
  <c r="K169" i="14"/>
  <c r="K86" i="14"/>
  <c r="K134" i="14"/>
  <c r="K182" i="14"/>
  <c r="K202" i="14"/>
  <c r="K198" i="14"/>
  <c r="K67" i="14"/>
  <c r="K83" i="14"/>
  <c r="K99" i="14"/>
  <c r="K115" i="14"/>
  <c r="K131" i="14"/>
  <c r="K147" i="14"/>
  <c r="K163" i="14"/>
  <c r="K179" i="14"/>
  <c r="K152" i="14"/>
  <c r="K168" i="14"/>
  <c r="K184" i="14"/>
  <c r="K68" i="14"/>
  <c r="K84" i="14"/>
  <c r="K100" i="14"/>
  <c r="K116" i="14"/>
  <c r="K132" i="14"/>
  <c r="K148" i="14"/>
  <c r="K77" i="14"/>
  <c r="K93" i="14"/>
  <c r="K109" i="14"/>
  <c r="K125" i="14"/>
  <c r="K141" i="14"/>
  <c r="K157" i="14"/>
  <c r="K173" i="14"/>
  <c r="K189" i="14"/>
  <c r="K74" i="14"/>
  <c r="K90" i="14"/>
  <c r="K106" i="14"/>
  <c r="K122" i="14"/>
  <c r="K138" i="14"/>
  <c r="K154" i="14"/>
  <c r="K170" i="14"/>
  <c r="K186" i="14"/>
  <c r="K146" i="14"/>
  <c r="K204" i="14"/>
  <c r="K79" i="14"/>
  <c r="K127" i="14"/>
  <c r="K191" i="14"/>
  <c r="K64" i="14"/>
  <c r="K144" i="14"/>
  <c r="K89" i="14"/>
  <c r="K137" i="14"/>
  <c r="K185" i="14"/>
  <c r="K102" i="14"/>
  <c r="K166" i="14"/>
  <c r="AU29" i="14"/>
  <c r="AT29" i="14"/>
  <c r="BL29" i="14"/>
  <c r="BS29" i="14"/>
  <c r="BK29" i="14"/>
  <c r="BJ29" i="14"/>
  <c r="BQ29" i="14"/>
  <c r="AO29" i="14"/>
  <c r="BD29" i="14"/>
  <c r="AN29" i="14"/>
  <c r="BO29" i="14"/>
  <c r="AS29" i="14"/>
  <c r="BC29" i="14"/>
  <c r="AR29" i="14"/>
  <c r="BB29" i="14"/>
  <c r="BR29" i="14"/>
  <c r="AP29" i="14"/>
  <c r="BG29" i="14"/>
  <c r="BI29" i="14"/>
  <c r="AX29" i="14"/>
  <c r="AQ29" i="14"/>
  <c r="D50" i="14"/>
  <c r="BP29" i="14"/>
  <c r="AY29" i="14"/>
  <c r="BM29" i="14"/>
  <c r="AZ29" i="14"/>
  <c r="AM29" i="14"/>
  <c r="BN29" i="14"/>
  <c r="AV29" i="14"/>
  <c r="BE29" i="14"/>
  <c r="AW29" i="14"/>
  <c r="BA29" i="14"/>
  <c r="BF29" i="14"/>
  <c r="B51" i="14"/>
  <c r="BT29" i="14"/>
  <c r="BH29" i="14"/>
  <c r="D19" i="2" l="1"/>
  <c r="D21" i="2" s="1"/>
  <c r="D16" i="2"/>
  <c r="D20" i="2"/>
  <c r="D22" i="2" s="1"/>
  <c r="S15" i="2"/>
  <c r="L19" i="2"/>
  <c r="L21" i="2" s="1"/>
  <c r="O8" i="2"/>
  <c r="H11" i="2"/>
  <c r="H16" i="2" s="1"/>
  <c r="G16" i="2"/>
  <c r="I19" i="2"/>
  <c r="I21" i="2" s="1"/>
  <c r="S11" i="2"/>
  <c r="I16" i="2"/>
  <c r="I20" i="2"/>
  <c r="I22" i="2" s="1"/>
  <c r="N15" i="2"/>
  <c r="Q11" i="2"/>
  <c r="Q20" i="2" s="1"/>
  <c r="H19" i="2"/>
  <c r="H21" i="2" s="1"/>
  <c r="C19" i="2"/>
  <c r="C21" i="2" s="1"/>
  <c r="J16" i="2"/>
  <c r="F15" i="2"/>
  <c r="O18" i="2"/>
  <c r="O19" i="2" s="1"/>
  <c r="O21" i="2" s="1"/>
  <c r="M16" i="2"/>
  <c r="M15" i="2"/>
  <c r="F16" i="2"/>
  <c r="F19" i="2"/>
  <c r="F21" i="2" s="1"/>
  <c r="R11" i="2"/>
  <c r="F20" i="2"/>
  <c r="F22" i="2" s="1"/>
  <c r="N19" i="2"/>
  <c r="N21" i="2" s="1"/>
  <c r="N20" i="2"/>
  <c r="N22" i="2" s="1"/>
  <c r="N16" i="2"/>
  <c r="U8" i="2"/>
  <c r="E19" i="2"/>
  <c r="E21" i="2" s="1"/>
  <c r="E16" i="2"/>
  <c r="E20" i="2"/>
  <c r="E22" i="2" s="1"/>
  <c r="T20" i="2"/>
  <c r="T19" i="2"/>
  <c r="K20" i="2"/>
  <c r="K22" i="2" s="1"/>
  <c r="K16" i="2"/>
  <c r="K19" i="2"/>
  <c r="K21" i="2" s="1"/>
  <c r="J20" i="2"/>
  <c r="J22" i="2" s="1"/>
  <c r="L16" i="2"/>
  <c r="O10" i="2"/>
  <c r="T13" i="2"/>
  <c r="T15" i="2" s="1"/>
  <c r="R13" i="2"/>
  <c r="R15" i="2" s="1"/>
  <c r="T18" i="2"/>
  <c r="C20" i="2"/>
  <c r="C22" i="2" s="1"/>
  <c r="M20" i="2"/>
  <c r="M22" i="2" s="1"/>
  <c r="G19" i="2"/>
  <c r="G21" i="2" s="1"/>
  <c r="S19" i="2"/>
  <c r="L20" i="2"/>
  <c r="L22" i="2" s="1"/>
  <c r="K15" i="2"/>
  <c r="Q15" i="2"/>
  <c r="O16" i="2"/>
  <c r="G20" i="2"/>
  <c r="G22" i="2" s="1"/>
  <c r="AP21" i="14"/>
  <c r="AM21" i="14"/>
  <c r="AQ21" i="14"/>
  <c r="D42" i="14"/>
  <c r="AO21" i="14"/>
  <c r="AN21" i="14"/>
  <c r="O20" i="2" l="1"/>
  <c r="O22" i="2" s="1"/>
  <c r="H20" i="2"/>
  <c r="H22" i="2" s="1"/>
  <c r="Q19" i="2"/>
  <c r="U11" i="2"/>
  <c r="U20" i="2" s="1"/>
  <c r="Q16" i="2"/>
  <c r="S20" i="2"/>
  <c r="S16" i="2"/>
  <c r="T16" i="2"/>
  <c r="R20" i="2"/>
  <c r="R16" i="2"/>
  <c r="R19" i="2"/>
  <c r="U16" i="2" l="1"/>
  <c r="U19" i="2"/>
</calcChain>
</file>

<file path=xl/sharedStrings.xml><?xml version="1.0" encoding="utf-8"?>
<sst xmlns="http://schemas.openxmlformats.org/spreadsheetml/2006/main" count="68" uniqueCount="51">
  <si>
    <t>TERMINAL SALES GAMING</t>
  </si>
  <si>
    <t>Machine Revenue from BPC</t>
  </si>
  <si>
    <t>2017 Actuals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</si>
  <si>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</si>
  <si>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</si>
  <si>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</si>
  <si>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</si>
  <si>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</si>
  <si>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</si>
  <si>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</si>
  <si>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</si>
  <si>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</si>
  <si>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</si>
  <si>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</si>
  <si>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</si>
  <si>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YTD</t>
  </si>
  <si>
    <t>Q1</t>
  </si>
  <si>
    <t>Q2</t>
  </si>
  <si>
    <t>Q3</t>
  </si>
  <si>
    <t>Q4</t>
  </si>
  <si>
    <t>Machine Gross Revenue</t>
  </si>
  <si>
    <t>Freight</t>
  </si>
  <si>
    <t>Machine Discounts</t>
  </si>
  <si>
    <t>NRV Credit</t>
  </si>
  <si>
    <t>Machine Net Revenue</t>
  </si>
  <si>
    <t>Units</t>
  </si>
  <si>
    <t>Gross ASP</t>
  </si>
  <si>
    <t>Net ASP</t>
  </si>
  <si>
    <t>Cost</t>
  </si>
  <si>
    <t>Profit excl. Freight</t>
  </si>
  <si>
    <t>Profit excl. NRV &amp; Freight</t>
  </si>
  <si>
    <t>Margin excl. Freight</t>
  </si>
  <si>
    <t>Margin excl. NRV &amp; Freight</t>
  </si>
  <si>
    <t>BPC Plug Beginning Month Date</t>
  </si>
  <si>
    <t>BPC Plug Gross Revenue (less Freight)</t>
  </si>
  <si>
    <t>BPC Plug Discount</t>
  </si>
  <si>
    <t>BPC Plug Net Revenue</t>
  </si>
  <si>
    <t>BPC Plug Cost</t>
  </si>
  <si>
    <t>BPC Plug Profit</t>
  </si>
  <si>
    <t>PC Region</t>
  </si>
  <si>
    <t>NA</t>
  </si>
  <si>
    <t>Other Cost (Calc)</t>
  </si>
  <si>
    <t>US Cost</t>
  </si>
  <si>
    <t>Canada Cost</t>
  </si>
  <si>
    <t>Total Cost</t>
  </si>
  <si>
    <t>Atlas Date</t>
  </si>
  <si>
    <t>Total Cost Check</t>
  </si>
  <si>
    <t>ACTUAL - Actual</t>
  </si>
  <si>
    <t>Doesn't get Uploaded (Already in COPA)</t>
  </si>
  <si>
    <t>Calculation</t>
  </si>
  <si>
    <t>Total Elim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</si>
</sst>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_(&quot;$&quot;* #,##0_);_(&quot;$&quot;* \(#,##0\);_(&quot;$&quot;* &quot;-&quot;??_);_(@_)"/>
  </numFmts>
  <fonts count="8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43" fontId="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7" fillId="0" borderId="0"/>
  </cellStyleXfs>
  <cellXfs count="49">
    <xf numFmtId="0" fontId="0" fillId="0" borderId="0" xfId="0"/>
    <xf numFmtId="0" fontId="4" fillId="0" borderId="0" xfId="0" applyFont="1"/>
    <xf numFmtId="0" fontId="5" fillId="0" borderId="0" xfId="0" applyFont="1"/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0" fillId="0" borderId="0" xfId="0" applyAlignment="1">
      <alignment horizontal="right"/>
    </xf>
    <xf numFmtId="164" fontId="0" fillId="0" borderId="5" xfId="1" applyNumberFormat="1" applyFont="1" applyBorder="1"/>
    <xf numFmtId="164" fontId="0" fillId="0" borderId="0" xfId="1" applyNumberFormat="1" applyFont="1"/>
    <xf numFmtId="164" fontId="4" fillId="3" borderId="8" xfId="1" applyNumberFormat="1" applyFont="1" applyFill="1" applyBorder="1"/>
    <xf numFmtId="164" fontId="4" fillId="3" borderId="9" xfId="1" applyNumberFormat="1" applyFont="1" applyFill="1" applyBorder="1"/>
    <xf numFmtId="164" fontId="4" fillId="4" borderId="2" xfId="1" applyNumberFormat="1" applyFont="1" applyFill="1" applyBorder="1"/>
    <xf numFmtId="164" fontId="4" fillId="4" borderId="3" xfId="1" applyNumberFormat="1" applyFont="1" applyFill="1" applyBorder="1"/>
    <xf numFmtId="164" fontId="4" fillId="4" borderId="1" xfId="1" applyNumberFormat="1" applyFont="1" applyFill="1" applyBorder="1"/>
    <xf numFmtId="164" fontId="0" fillId="0" borderId="2" xfId="1" applyNumberFormat="1" applyFont="1" applyBorder="1"/>
    <xf numFmtId="164" fontId="0" fillId="0" borderId="3" xfId="1" applyNumberFormat="1" applyFont="1" applyBorder="1"/>
    <xf numFmtId="164" fontId="4" fillId="3" borderId="1" xfId="1" applyNumberFormat="1" applyFont="1" applyFill="1" applyBorder="1"/>
    <xf numFmtId="164" fontId="0" fillId="0" borderId="10" xfId="1" applyNumberFormat="1" applyFont="1" applyBorder="1"/>
    <xf numFmtId="164" fontId="0" fillId="0" borderId="11" xfId="1" applyNumberFormat="1" applyFont="1" applyBorder="1"/>
    <xf numFmtId="164" fontId="0" fillId="0" borderId="6" xfId="1" applyNumberFormat="1" applyFont="1" applyBorder="1"/>
    <xf numFmtId="164" fontId="0" fillId="0" borderId="7" xfId="1" applyNumberFormat="1" applyFont="1" applyBorder="1"/>
    <xf numFmtId="164" fontId="4" fillId="3" borderId="12" xfId="1" applyNumberFormat="1" applyFont="1" applyFill="1" applyBorder="1"/>
    <xf numFmtId="164" fontId="0" fillId="4" borderId="2" xfId="1" applyNumberFormat="1" applyFont="1" applyFill="1" applyBorder="1"/>
    <xf numFmtId="164" fontId="0" fillId="4" borderId="3" xfId="1" applyNumberFormat="1" applyFont="1" applyFill="1" applyBorder="1"/>
    <xf numFmtId="164" fontId="0" fillId="4" borderId="6" xfId="1" applyNumberFormat="1" applyFont="1" applyFill="1" applyBorder="1"/>
    <xf numFmtId="164" fontId="0" fillId="4" borderId="7" xfId="1" applyNumberFormat="1" applyFont="1" applyFill="1" applyBorder="1"/>
    <xf numFmtId="164" fontId="4" fillId="4" borderId="12" xfId="1" applyNumberFormat="1" applyFont="1" applyFill="1" applyBorder="1"/>
    <xf numFmtId="164" fontId="0" fillId="0" borderId="0" xfId="0" applyNumberFormat="1"/>
    <xf numFmtId="165" fontId="6" fillId="0" borderId="0" xfId="4" applyNumberFormat="1" applyFont="1"/>
    <xf numFmtId="43" fontId="0" fillId="0" borderId="0" xfId="0" applyNumberFormat="1"/>
    <xf numFmtId="22" fontId="0" fillId="0" borderId="0" xfId="0" applyNumberFormat="1" applyAlignment="1">
      <alignment vertical="center" wrapText="1"/>
    </xf>
    <xf numFmtId="0" fontId="0" fillId="0" borderId="0" xfId="0" applyAlignment="1">
      <alignment horizontal="left"/>
    </xf>
    <xf numFmtId="0" fontId="0" fillId="0" borderId="0" xfId="0" applyProtection="1">
      <protection locked="0"/>
    </xf>
    <xf numFmtId="0" fontId="4" fillId="0" borderId="0" xfId="0" applyFont="1" applyAlignment="1">
      <alignment horizontal="right"/>
    </xf>
    <xf numFmtId="0" fontId="0" fillId="0" borderId="0" xfId="1" applyNumberFormat="1" applyFont="1" applyAlignment="1">
      <alignment horizontal="left"/>
    </xf>
    <xf numFmtId="164" fontId="0" fillId="0" borderId="0" xfId="1" applyNumberFormat="1" applyFont="1" applyProtection="1">
      <protection locked="0"/>
    </xf>
    <xf numFmtId="164" fontId="0" fillId="0" borderId="0" xfId="1" applyNumberFormat="1" applyFont="1" applyAlignment="1"/>
    <xf numFmtId="0" fontId="4" fillId="0" borderId="13" xfId="0" applyFont="1" applyBorder="1"/>
    <xf numFmtId="0" fontId="4" fillId="5" borderId="13" xfId="0" applyFont="1" applyFill="1" applyBorder="1"/>
    <xf numFmtId="14" fontId="0" fillId="0" borderId="0" xfId="0" applyNumberFormat="1"/>
    <xf numFmtId="0" fontId="4" fillId="5" borderId="0" xfId="0" applyFont="1" applyFill="1"/>
    <xf numFmtId="0" fontId="0" fillId="0" borderId="14" xfId="0" applyBorder="1"/>
    <xf numFmtId="0" fontId="4" fillId="0" borderId="15" xfId="0" applyFont="1" applyBorder="1"/>
    <xf numFmtId="164" fontId="0" fillId="0" borderId="0" xfId="1" applyNumberFormat="1" applyFont="1" applyAlignment="1" applyProtection="1">
      <protection locked="0"/>
    </xf>
    <xf numFmtId="166" fontId="0" fillId="0" borderId="0" xfId="5" applyNumberFormat="1" applyFon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</cellXfs>
  <cellStyles count="7">
    <cellStyle name="Comma" xfId="1" builtinId="3"/>
    <cellStyle name="Comma 2" xfId="3" xr:uid="{00000000-0005-0000-0000-000001000000}"/>
    <cellStyle name="Currency" xfId="5" builtinId="4"/>
    <cellStyle name="Normal" xfId="0" builtinId="0"/>
    <cellStyle name="Normal 2" xfId="2" xr:uid="{00000000-0005-0000-0000-000003000000}"/>
    <cellStyle name="Normal 2 2" xfId="6" xr:uid="{9E335933-7D08-46D7-866C-837BBED37CB4}"/>
    <cellStyle name="Percent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activeX1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7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8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9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10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2.emf"/><Relationship Id="rId2" Type="http://schemas.openxmlformats.org/officeDocument/2006/relationships/image" Target="../media/image3.emf"/><Relationship Id="rId1" Type="http://schemas.openxmlformats.org/officeDocument/2006/relationships/image" Target="../media/image4.emf"/><Relationship Id="rId4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3" Type="http://schemas.openxmlformats.org/officeDocument/2006/relationships/image" Target="../media/image7.emf"/><Relationship Id="rId2" Type="http://schemas.openxmlformats.org/officeDocument/2006/relationships/image" Target="../media/image6.emf"/><Relationship Id="rId1" Type="http://schemas.openxmlformats.org/officeDocument/2006/relationships/image" Target="../media/image5.emf"/><Relationship Id="rId6" Type="http://schemas.openxmlformats.org/officeDocument/2006/relationships/image" Target="../media/image10.emf"/><Relationship Id="rId5" Type="http://schemas.openxmlformats.org/officeDocument/2006/relationships/image" Target="../media/image9.emf"/><Relationship Id="rId4" Type="http://schemas.openxmlformats.org/officeDocument/2006/relationships/image" Target="../media/image8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1</xdr:col>
          <xdr:colOff>304800</xdr:colOff>
          <xdr:row>0</xdr:row>
          <xdr:rowOff>0</xdr:rowOff>
        </xdr:to>
        <xdr:sp macro="" textlink="">
          <xdr:nvSpPr>
            <xdr:cNvPr id="22529" name="FPMExcelClientSheetOptionstb1" hidden="1">
              <a:extLst>
                <a:ext uri="{63B3BB69-23CF-44E3-9099-C40C66FF867C}">
                  <a14:compatExt spid="_x0000_s22529"/>
                </a:ext>
                <a:ext uri="{FF2B5EF4-FFF2-40B4-BE49-F238E27FC236}">
                  <a16:creationId xmlns:a16="http://schemas.microsoft.com/office/drawing/2014/main" id="{00000000-0008-0000-0100-0000015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1</xdr:col>
          <xdr:colOff>304800</xdr:colOff>
          <xdr:row>0</xdr:row>
          <xdr:rowOff>0</xdr:rowOff>
        </xdr:to>
        <xdr:sp macro="" textlink="">
          <xdr:nvSpPr>
            <xdr:cNvPr id="22530" name="ConnectionDescriptorsInfotb1" hidden="1">
              <a:extLst>
                <a:ext uri="{63B3BB69-23CF-44E3-9099-C40C66FF867C}">
                  <a14:compatExt spid="_x0000_s22530"/>
                </a:ext>
                <a:ext uri="{FF2B5EF4-FFF2-40B4-BE49-F238E27FC236}">
                  <a16:creationId xmlns:a16="http://schemas.microsoft.com/office/drawing/2014/main" id="{00000000-0008-0000-0100-0000025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1</xdr:col>
          <xdr:colOff>304800</xdr:colOff>
          <xdr:row>0</xdr:row>
          <xdr:rowOff>0</xdr:rowOff>
        </xdr:to>
        <xdr:sp macro="" textlink="">
          <xdr:nvSpPr>
            <xdr:cNvPr id="22531" name="MultipleReportManagerInfotb1" hidden="1">
              <a:extLst>
                <a:ext uri="{63B3BB69-23CF-44E3-9099-C40C66FF867C}">
                  <a14:compatExt spid="_x0000_s22531"/>
                </a:ext>
                <a:ext uri="{FF2B5EF4-FFF2-40B4-BE49-F238E27FC236}">
                  <a16:creationId xmlns:a16="http://schemas.microsoft.com/office/drawing/2014/main" id="{00000000-0008-0000-0100-0000035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1</xdr:col>
          <xdr:colOff>304800</xdr:colOff>
          <xdr:row>0</xdr:row>
          <xdr:rowOff>0</xdr:rowOff>
        </xdr:to>
        <xdr:sp macro="" textlink="">
          <xdr:nvSpPr>
            <xdr:cNvPr id="22532" name="AnalyzerDynReport000tb1" hidden="1">
              <a:extLst>
                <a:ext uri="{63B3BB69-23CF-44E3-9099-C40C66FF867C}">
                  <a14:compatExt spid="_x0000_s22532"/>
                </a:ext>
                <a:ext uri="{FF2B5EF4-FFF2-40B4-BE49-F238E27FC236}">
                  <a16:creationId xmlns:a16="http://schemas.microsoft.com/office/drawing/2014/main" id="{00000000-0008-0000-0100-0000045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20481" name="FPMExcelClientSheetOptionstb1" hidden="1">
              <a:extLst>
                <a:ext uri="{63B3BB69-23CF-44E3-9099-C40C66FF867C}">
                  <a14:compatExt spid="_x0000_s20481"/>
                </a:ext>
                <a:ext uri="{FF2B5EF4-FFF2-40B4-BE49-F238E27FC236}">
                  <a16:creationId xmlns:a16="http://schemas.microsoft.com/office/drawing/2014/main" id="{00000000-0008-0000-0200-0000015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20482" name="ConnectionDescriptorsInfotb1" hidden="1">
              <a:extLst>
                <a:ext uri="{63B3BB69-23CF-44E3-9099-C40C66FF867C}">
                  <a14:compatExt spid="_x0000_s20482"/>
                </a:ext>
                <a:ext uri="{FF2B5EF4-FFF2-40B4-BE49-F238E27FC236}">
                  <a16:creationId xmlns:a16="http://schemas.microsoft.com/office/drawing/2014/main" id="{00000000-0008-0000-0200-0000025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20483" name="MultipleReportManagerInfotb1" hidden="1">
              <a:extLst>
                <a:ext uri="{63B3BB69-23CF-44E3-9099-C40C66FF867C}">
                  <a14:compatExt spid="_x0000_s20483"/>
                </a:ext>
                <a:ext uri="{FF2B5EF4-FFF2-40B4-BE49-F238E27FC236}">
                  <a16:creationId xmlns:a16="http://schemas.microsoft.com/office/drawing/2014/main" id="{00000000-0008-0000-0200-0000035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20484" name="AnalyzerDynReport000tb1" hidden="1">
              <a:extLst>
                <a:ext uri="{63B3BB69-23CF-44E3-9099-C40C66FF867C}">
                  <a14:compatExt spid="_x0000_s20484"/>
                </a:ext>
                <a:ext uri="{FF2B5EF4-FFF2-40B4-BE49-F238E27FC236}">
                  <a16:creationId xmlns:a16="http://schemas.microsoft.com/office/drawing/2014/main" id="{00000000-0008-0000-0200-0000045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20485" name="AnalyzerDynReport001tb1" hidden="1">
              <a:extLst>
                <a:ext uri="{63B3BB69-23CF-44E3-9099-C40C66FF867C}">
                  <a14:compatExt spid="_x0000_s20485"/>
                </a:ext>
                <a:ext uri="{FF2B5EF4-FFF2-40B4-BE49-F238E27FC236}">
                  <a16:creationId xmlns:a16="http://schemas.microsoft.com/office/drawing/2014/main" id="{00000000-0008-0000-0200-0000055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20486" name="AnalyzerDynReport002tb1" hidden="1">
              <a:extLst>
                <a:ext uri="{63B3BB69-23CF-44E3-9099-C40C66FF867C}">
                  <a14:compatExt spid="_x0000_s20486"/>
                </a:ext>
                <a:ext uri="{FF2B5EF4-FFF2-40B4-BE49-F238E27FC236}">
                  <a16:creationId xmlns:a16="http://schemas.microsoft.com/office/drawing/2014/main" id="{00000000-0008-0000-0200-0000065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control" Target="../activeX/activeX4.xml"/><Relationship Id="rId8" Type="http://schemas.openxmlformats.org/officeDocument/2006/relationships/image" Target="../media/image1.emf"/><Relationship Id="rId3" Type="http://schemas.openxmlformats.org/officeDocument/2006/relationships/customProperty" Target="../customProperty4.bin"/><Relationship Id="rId12" Type="http://schemas.openxmlformats.org/officeDocument/2006/relationships/image" Target="../media/image3.emf"/><Relationship Id="rId7" Type="http://schemas.openxmlformats.org/officeDocument/2006/relationships/control" Target="../activeX/activeX1.xml"/><Relationship Id="rId2" Type="http://schemas.openxmlformats.org/officeDocument/2006/relationships/customProperty" Target="../customProperty3.bin"/><Relationship Id="rId1" Type="http://schemas.openxmlformats.org/officeDocument/2006/relationships/customProperty" Target="../customProperty2.bin"/><Relationship Id="rId6" Type="http://schemas.openxmlformats.org/officeDocument/2006/relationships/vmlDrawing" Target="../drawings/vmlDrawing1.vml"/><Relationship Id="rId11" Type="http://schemas.openxmlformats.org/officeDocument/2006/relationships/control" Target="../activeX/activeX3.xml"/><Relationship Id="rId5" Type="http://schemas.openxmlformats.org/officeDocument/2006/relationships/drawing" Target="../drawings/drawing1.xml"/><Relationship Id="rId10" Type="http://schemas.openxmlformats.org/officeDocument/2006/relationships/image" Target="../media/image2.emf"/><Relationship Id="rId4" Type="http://schemas.openxmlformats.org/officeDocument/2006/relationships/customProperty" Target="../customProperty5.bin"/><Relationship Id="rId14" Type="http://schemas.openxmlformats.org/officeDocument/2006/relationships/image" Target="../media/image4.emf"/><Relationship Id="rId9" Type="http://schemas.openxmlformats.org/officeDocument/2006/relationships/control" Target="../activeX/activeX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emf"/><Relationship Id="rId13" Type="http://schemas.openxmlformats.org/officeDocument/2006/relationships/control" Target="../activeX/activeX8.xml"/><Relationship Id="rId18" Type="http://schemas.openxmlformats.org/officeDocument/2006/relationships/image" Target="../media/image10.emf"/><Relationship Id="rId3" Type="http://schemas.openxmlformats.org/officeDocument/2006/relationships/customProperty" Target="../customProperty7.bin"/><Relationship Id="rId7" Type="http://schemas.openxmlformats.org/officeDocument/2006/relationships/control" Target="../activeX/activeX5.xml"/><Relationship Id="rId12" Type="http://schemas.openxmlformats.org/officeDocument/2006/relationships/image" Target="../media/image7.emf"/><Relationship Id="rId17" Type="http://schemas.openxmlformats.org/officeDocument/2006/relationships/control" Target="../activeX/activeX10.xml"/><Relationship Id="rId2" Type="http://schemas.openxmlformats.org/officeDocument/2006/relationships/customProperty" Target="../customProperty6.bin"/><Relationship Id="rId16" Type="http://schemas.openxmlformats.org/officeDocument/2006/relationships/image" Target="../media/image9.emf"/><Relationship Id="rId1" Type="http://schemas.openxmlformats.org/officeDocument/2006/relationships/printerSettings" Target="../printerSettings/printerSettings1.bin"/><Relationship Id="rId6" Type="http://schemas.openxmlformats.org/officeDocument/2006/relationships/vmlDrawing" Target="../drawings/vmlDrawing2.vml"/><Relationship Id="rId11" Type="http://schemas.openxmlformats.org/officeDocument/2006/relationships/control" Target="../activeX/activeX7.xml"/><Relationship Id="rId5" Type="http://schemas.openxmlformats.org/officeDocument/2006/relationships/drawing" Target="../drawings/drawing2.xml"/><Relationship Id="rId15" Type="http://schemas.openxmlformats.org/officeDocument/2006/relationships/control" Target="../activeX/activeX9.xml"/><Relationship Id="rId10" Type="http://schemas.openxmlformats.org/officeDocument/2006/relationships/image" Target="../media/image6.emf"/><Relationship Id="rId4" Type="http://schemas.openxmlformats.org/officeDocument/2006/relationships/customProperty" Target="../customProperty8.bin"/><Relationship Id="rId9" Type="http://schemas.openxmlformats.org/officeDocument/2006/relationships/control" Target="../activeX/activeX6.xml"/><Relationship Id="rId14" Type="http://schemas.openxmlformats.org/officeDocument/2006/relationships/image" Target="../media/image8.emf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5"/>
  <sheetViews>
    <sheetView topLeftCell="A27" zoomScale="80" zoomScaleNormal="80" workbookViewId="0">
      <selection activeCell="B45" sqref="B45"/>
    </sheetView>
  </sheetViews>
  <sheetFormatPr defaultRowHeight="15" outlineLevelRow="1"/>
  <cols>
    <col min="2" max="2" width="27.140625" bestFit="1" customWidth="1"/>
    <col min="3" max="14" width="13.42578125" customWidth="1"/>
    <col min="15" max="15" width="14.42578125" bestFit="1" customWidth="1"/>
    <col min="16" max="16" width="2.140625" customWidth="1"/>
    <col min="17" max="20" width="13.42578125" customWidth="1"/>
    <col min="21" max="21" width="14.42578125" bestFit="1" customWidth="1"/>
  </cols>
  <sheetData>
    <row r="1" spans="1:21">
      <c r="A1" s="1" t="s">
        <v>0</v>
      </c>
    </row>
    <row r="2" spans="1:21">
      <c r="A2" s="2" t="s">
        <v>1</v>
      </c>
    </row>
    <row r="4" spans="1:21" ht="15.75" thickBot="1"/>
    <row r="5" spans="1:21" ht="15.75" thickBot="1">
      <c r="C5" s="46" t="s">
        <v>2</v>
      </c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48"/>
      <c r="Q5" s="46" t="s">
        <v>2</v>
      </c>
      <c r="R5" s="47"/>
      <c r="S5" s="47"/>
      <c r="T5" s="47"/>
      <c r="U5" s="48"/>
    </row>
    <row r="6" spans="1:21" ht="15.75" thickBot="1">
      <c r="C6" s="3" t="s">
        <v>3</v>
      </c>
      <c r="D6" s="3" t="s">
        <v>4</v>
      </c>
      <c r="E6" s="3" t="s">
        <v>5</v>
      </c>
      <c r="F6" s="3" t="s">
        <v>6</v>
      </c>
      <c r="G6" s="3" t="s">
        <v>7</v>
      </c>
      <c r="H6" s="3" t="s">
        <v>8</v>
      </c>
      <c r="I6" s="3" t="s">
        <v>9</v>
      </c>
      <c r="J6" s="3" t="s">
        <v>10</v>
      </c>
      <c r="K6" s="3" t="s">
        <v>11</v>
      </c>
      <c r="L6" s="3" t="s">
        <v>12</v>
      </c>
      <c r="M6" s="3" t="s">
        <v>13</v>
      </c>
      <c r="N6" s="3" t="s">
        <v>14</v>
      </c>
      <c r="O6" s="3" t="s">
        <v>15</v>
      </c>
      <c r="Q6" s="4" t="s">
        <v>16</v>
      </c>
      <c r="R6" s="4" t="s">
        <v>17</v>
      </c>
      <c r="S6" s="4" t="s">
        <v>18</v>
      </c>
      <c r="T6" s="4" t="s">
        <v>19</v>
      </c>
      <c r="U6" s="3" t="s">
        <v>15</v>
      </c>
    </row>
    <row r="7" spans="1:21">
      <c r="B7" s="5" t="s">
        <v>20</v>
      </c>
      <c r="C7" s="6" t="e">
        <f>#REF!</f>
        <v>#REF!</v>
      </c>
      <c r="D7" s="7" t="e">
        <f>#REF!</f>
        <v>#REF!</v>
      </c>
      <c r="E7" s="7" t="e">
        <f>#REF!</f>
        <v>#REF!</v>
      </c>
      <c r="F7" s="7" t="e">
        <f>#REF!</f>
        <v>#REF!</v>
      </c>
      <c r="G7" s="7" t="e">
        <f>#REF!</f>
        <v>#REF!</v>
      </c>
      <c r="H7" s="7" t="e">
        <f>#REF!</f>
        <v>#REF!</v>
      </c>
      <c r="I7" s="7" t="e">
        <f>#REF!</f>
        <v>#REF!</v>
      </c>
      <c r="J7" s="7" t="e">
        <f>#REF!</f>
        <v>#REF!</v>
      </c>
      <c r="K7" s="7" t="e">
        <f>#REF!</f>
        <v>#REF!</v>
      </c>
      <c r="L7" s="7" t="e">
        <f>#REF!</f>
        <v>#REF!</v>
      </c>
      <c r="M7" s="7" t="e">
        <f>#REF!</f>
        <v>#REF!</v>
      </c>
      <c r="N7" s="7" t="e">
        <f>#REF!</f>
        <v>#REF!</v>
      </c>
      <c r="O7" s="8" t="e">
        <f>SUM(C7:N7)</f>
        <v>#REF!</v>
      </c>
      <c r="Q7" s="6" t="e">
        <f>SUM(C7:E7)</f>
        <v>#REF!</v>
      </c>
      <c r="R7" s="7" t="e">
        <f>SUM(F7:H7)</f>
        <v>#REF!</v>
      </c>
      <c r="S7" s="7" t="e">
        <f>SUM(I7:K7)</f>
        <v>#REF!</v>
      </c>
      <c r="T7" s="7" t="e">
        <f>SUM(L7:N7)</f>
        <v>#REF!</v>
      </c>
      <c r="U7" s="8" t="e">
        <f>SUM(Q7:T7)</f>
        <v>#REF!</v>
      </c>
    </row>
    <row r="8" spans="1:21">
      <c r="B8" s="5" t="s">
        <v>21</v>
      </c>
      <c r="C8" s="6" t="e">
        <f>#REF!</f>
        <v>#REF!</v>
      </c>
      <c r="D8" s="7" t="e">
        <f>#REF!</f>
        <v>#REF!</v>
      </c>
      <c r="E8" s="7" t="e">
        <f>#REF!</f>
        <v>#REF!</v>
      </c>
      <c r="F8" s="7" t="e">
        <f>#REF!</f>
        <v>#REF!</v>
      </c>
      <c r="G8" s="7" t="e">
        <f>#REF!</f>
        <v>#REF!</v>
      </c>
      <c r="H8" s="7" t="e">
        <f>#REF!</f>
        <v>#REF!</v>
      </c>
      <c r="I8" s="7" t="e">
        <f>#REF!</f>
        <v>#REF!</v>
      </c>
      <c r="J8" s="7" t="e">
        <f>#REF!</f>
        <v>#REF!</v>
      </c>
      <c r="K8" s="7" t="e">
        <f>#REF!</f>
        <v>#REF!</v>
      </c>
      <c r="L8" s="7" t="e">
        <f>#REF!</f>
        <v>#REF!</v>
      </c>
      <c r="M8" s="7" t="e">
        <f>#REF!</f>
        <v>#REF!</v>
      </c>
      <c r="N8" s="7" t="e">
        <f>#REF!</f>
        <v>#REF!</v>
      </c>
      <c r="O8" s="9" t="e">
        <f>SUM(C8:N8)</f>
        <v>#REF!</v>
      </c>
      <c r="Q8" s="6" t="e">
        <f>SUM(C8:E8)</f>
        <v>#REF!</v>
      </c>
      <c r="R8" s="7" t="e">
        <f>SUM(F8:H8)</f>
        <v>#REF!</v>
      </c>
      <c r="S8" s="7" t="e">
        <f>SUM(I8:K8)</f>
        <v>#REF!</v>
      </c>
      <c r="T8" s="7" t="e">
        <f>SUM(L8:N8)</f>
        <v>#REF!</v>
      </c>
      <c r="U8" s="9" t="e">
        <f>SUM(Q8:T8)</f>
        <v>#REF!</v>
      </c>
    </row>
    <row r="9" spans="1:21">
      <c r="B9" s="5" t="s">
        <v>22</v>
      </c>
      <c r="C9" s="6" t="e">
        <f>#REF!</f>
        <v>#REF!</v>
      </c>
      <c r="D9" s="7" t="e">
        <f>#REF!</f>
        <v>#REF!</v>
      </c>
      <c r="E9" s="7" t="e">
        <f>#REF!</f>
        <v>#REF!</v>
      </c>
      <c r="F9" s="7" t="e">
        <f>#REF!</f>
        <v>#REF!</v>
      </c>
      <c r="G9" s="7" t="e">
        <f>#REF!</f>
        <v>#REF!</v>
      </c>
      <c r="H9" s="7" t="e">
        <f>#REF!</f>
        <v>#REF!</v>
      </c>
      <c r="I9" s="7" t="e">
        <f>#REF!</f>
        <v>#REF!</v>
      </c>
      <c r="J9" s="7" t="e">
        <f>#REF!</f>
        <v>#REF!</v>
      </c>
      <c r="K9" s="7" t="e">
        <f>#REF!</f>
        <v>#REF!</v>
      </c>
      <c r="L9" s="7" t="e">
        <f>#REF!</f>
        <v>#REF!</v>
      </c>
      <c r="M9" s="7" t="e">
        <f>#REF!</f>
        <v>#REF!</v>
      </c>
      <c r="N9" s="7" t="e">
        <f>#REF!</f>
        <v>#REF!</v>
      </c>
      <c r="O9" s="9" t="e">
        <f>SUM(C9:N9)</f>
        <v>#REF!</v>
      </c>
      <c r="Q9" s="6" t="e">
        <f>SUM(C9:E9)</f>
        <v>#REF!</v>
      </c>
      <c r="R9" s="7" t="e">
        <f>SUM(F9:H9)</f>
        <v>#REF!</v>
      </c>
      <c r="S9" s="7" t="e">
        <f>SUM(I9:K9)</f>
        <v>#REF!</v>
      </c>
      <c r="T9" s="7" t="e">
        <f>SUM(L9:N9)</f>
        <v>#REF!</v>
      </c>
      <c r="U9" s="9" t="e">
        <f>SUM(Q9:T9)</f>
        <v>#REF!</v>
      </c>
    </row>
    <row r="10" spans="1:21" ht="15.75" thickBot="1">
      <c r="B10" s="5" t="s">
        <v>23</v>
      </c>
      <c r="C10" s="6" t="e">
        <f>#REF!</f>
        <v>#REF!</v>
      </c>
      <c r="D10" s="7" t="e">
        <f>#REF!</f>
        <v>#REF!</v>
      </c>
      <c r="E10" s="7" t="e">
        <f>#REF!</f>
        <v>#REF!</v>
      </c>
      <c r="F10" s="7" t="e">
        <f>#REF!</f>
        <v>#REF!</v>
      </c>
      <c r="G10" s="7" t="e">
        <f>#REF!</f>
        <v>#REF!</v>
      </c>
      <c r="H10" s="7" t="e">
        <f>#REF!</f>
        <v>#REF!</v>
      </c>
      <c r="I10" s="7" t="e">
        <f>#REF!</f>
        <v>#REF!</v>
      </c>
      <c r="J10" s="7" t="e">
        <f>#REF!</f>
        <v>#REF!</v>
      </c>
      <c r="K10" s="7" t="e">
        <f>#REF!</f>
        <v>#REF!</v>
      </c>
      <c r="L10" s="7" t="e">
        <f>#REF!</f>
        <v>#REF!</v>
      </c>
      <c r="M10" s="7" t="e">
        <f>#REF!</f>
        <v>#REF!</v>
      </c>
      <c r="N10" s="7" t="e">
        <f>#REF!</f>
        <v>#REF!</v>
      </c>
      <c r="O10" s="9" t="e">
        <f>SUM(C10:N10)</f>
        <v>#REF!</v>
      </c>
      <c r="Q10" s="6" t="e">
        <f>SUM(C10:E10)</f>
        <v>#REF!</v>
      </c>
      <c r="R10" s="7" t="e">
        <f>SUM(F10:H10)</f>
        <v>#REF!</v>
      </c>
      <c r="S10" s="7" t="e">
        <f>SUM(I10:K10)</f>
        <v>#REF!</v>
      </c>
      <c r="T10" s="7" t="e">
        <f>SUM(L10:N10)</f>
        <v>#REF!</v>
      </c>
      <c r="U10" s="9" t="e">
        <f>SUM(Q10:T10)</f>
        <v>#REF!</v>
      </c>
    </row>
    <row r="11" spans="1:21" ht="15.75" thickBot="1">
      <c r="B11" s="5" t="s">
        <v>24</v>
      </c>
      <c r="C11" s="10" t="e">
        <f t="shared" ref="C11:N11" si="0">SUM(C7:C10)</f>
        <v>#REF!</v>
      </c>
      <c r="D11" s="11" t="e">
        <f t="shared" si="0"/>
        <v>#REF!</v>
      </c>
      <c r="E11" s="11" t="e">
        <f t="shared" si="0"/>
        <v>#REF!</v>
      </c>
      <c r="F11" s="11" t="e">
        <f t="shared" si="0"/>
        <v>#REF!</v>
      </c>
      <c r="G11" s="11" t="e">
        <f t="shared" si="0"/>
        <v>#REF!</v>
      </c>
      <c r="H11" s="11" t="e">
        <f t="shared" si="0"/>
        <v>#REF!</v>
      </c>
      <c r="I11" s="11" t="e">
        <f t="shared" si="0"/>
        <v>#REF!</v>
      </c>
      <c r="J11" s="11" t="e">
        <f t="shared" si="0"/>
        <v>#REF!</v>
      </c>
      <c r="K11" s="11" t="e">
        <f t="shared" si="0"/>
        <v>#REF!</v>
      </c>
      <c r="L11" s="11" t="e">
        <f t="shared" si="0"/>
        <v>#REF!</v>
      </c>
      <c r="M11" s="11" t="e">
        <f t="shared" si="0"/>
        <v>#REF!</v>
      </c>
      <c r="N11" s="11" t="e">
        <f t="shared" si="0"/>
        <v>#REF!</v>
      </c>
      <c r="O11" s="12" t="e">
        <f>SUM(C11:N11)</f>
        <v>#REF!</v>
      </c>
      <c r="Q11" s="10" t="e">
        <f>SUM(C11:E11)</f>
        <v>#REF!</v>
      </c>
      <c r="R11" s="11" t="e">
        <f>SUM(F11:H11)</f>
        <v>#REF!</v>
      </c>
      <c r="S11" s="11" t="e">
        <f>SUM(I11:K11)</f>
        <v>#REF!</v>
      </c>
      <c r="T11" s="11" t="e">
        <f>SUM(L11:N11)</f>
        <v>#REF!</v>
      </c>
      <c r="U11" s="12" t="e">
        <f>SUM(Q11:T11)</f>
        <v>#REF!</v>
      </c>
    </row>
    <row r="12" spans="1:21" ht="15.75" thickBot="1"/>
    <row r="13" spans="1:21" ht="15.75" outlineLevel="1" thickBot="1">
      <c r="B13" s="5" t="s">
        <v>25</v>
      </c>
      <c r="C13" s="13" t="e">
        <f>#REF!</f>
        <v>#REF!</v>
      </c>
      <c r="D13" s="14" t="e">
        <f>#REF!</f>
        <v>#REF!</v>
      </c>
      <c r="E13" s="14" t="e">
        <f>#REF!</f>
        <v>#REF!</v>
      </c>
      <c r="F13" s="14" t="e">
        <f>#REF!</f>
        <v>#REF!</v>
      </c>
      <c r="G13" s="14" t="e">
        <f>#REF!</f>
        <v>#REF!</v>
      </c>
      <c r="H13" s="14" t="e">
        <f>#REF!</f>
        <v>#REF!</v>
      </c>
      <c r="I13" s="14" t="e">
        <f>#REF!</f>
        <v>#REF!</v>
      </c>
      <c r="J13" s="14" t="e">
        <f>#REF!</f>
        <v>#REF!</v>
      </c>
      <c r="K13" s="14" t="e">
        <f>#REF!</f>
        <v>#REF!</v>
      </c>
      <c r="L13" s="14" t="e">
        <f>#REF!</f>
        <v>#REF!</v>
      </c>
      <c r="M13" s="14" t="e">
        <f>#REF!</f>
        <v>#REF!</v>
      </c>
      <c r="N13" s="14" t="e">
        <f>#REF!</f>
        <v>#REF!</v>
      </c>
      <c r="O13" s="15" t="e">
        <f>SUM(C13:N13)</f>
        <v>#REF!</v>
      </c>
      <c r="Q13" s="13" t="e">
        <f>SUM(C13:E13)</f>
        <v>#REF!</v>
      </c>
      <c r="R13" s="14" t="e">
        <f>SUM(F13:H13)</f>
        <v>#REF!</v>
      </c>
      <c r="S13" s="14" t="e">
        <f>SUM(I13:K13)</f>
        <v>#REF!</v>
      </c>
      <c r="T13" s="14" t="e">
        <f>SUM(L13:N13)</f>
        <v>#REF!</v>
      </c>
      <c r="U13" s="15" t="e">
        <f>SUM(Q13:T13)</f>
        <v>#REF!</v>
      </c>
    </row>
    <row r="14" spans="1:21" ht="15.75" outlineLevel="1" thickBot="1"/>
    <row r="15" spans="1:21" outlineLevel="1">
      <c r="B15" s="5" t="s">
        <v>26</v>
      </c>
      <c r="C15" s="16">
        <f t="shared" ref="C15:O15" si="1">IFERROR(C7/C13,0)</f>
        <v>0</v>
      </c>
      <c r="D15" s="17">
        <f t="shared" si="1"/>
        <v>0</v>
      </c>
      <c r="E15" s="17">
        <f t="shared" si="1"/>
        <v>0</v>
      </c>
      <c r="F15" s="17">
        <f t="shared" si="1"/>
        <v>0</v>
      </c>
      <c r="G15" s="17">
        <f t="shared" si="1"/>
        <v>0</v>
      </c>
      <c r="H15" s="17">
        <f t="shared" si="1"/>
        <v>0</v>
      </c>
      <c r="I15" s="17">
        <f t="shared" si="1"/>
        <v>0</v>
      </c>
      <c r="J15" s="17">
        <f t="shared" si="1"/>
        <v>0</v>
      </c>
      <c r="K15" s="17">
        <f t="shared" si="1"/>
        <v>0</v>
      </c>
      <c r="L15" s="17">
        <f t="shared" si="1"/>
        <v>0</v>
      </c>
      <c r="M15" s="17">
        <f t="shared" si="1"/>
        <v>0</v>
      </c>
      <c r="N15" s="17">
        <f t="shared" si="1"/>
        <v>0</v>
      </c>
      <c r="O15" s="8">
        <f t="shared" si="1"/>
        <v>0</v>
      </c>
      <c r="P15" s="7"/>
      <c r="Q15" s="16">
        <f>IFERROR(Q7/Q13,0)</f>
        <v>0</v>
      </c>
      <c r="R15" s="17">
        <f>IFERROR(R7/R13,0)</f>
        <v>0</v>
      </c>
      <c r="S15" s="17">
        <f>IFERROR(S7/S13,0)</f>
        <v>0</v>
      </c>
      <c r="T15" s="17">
        <f>IFERROR(T7/T13,0)</f>
        <v>0</v>
      </c>
      <c r="U15" s="8">
        <f>IFERROR(U7/U13,0)</f>
        <v>0</v>
      </c>
    </row>
    <row r="16" spans="1:21" ht="15.75" outlineLevel="1" thickBot="1">
      <c r="B16" s="5" t="s">
        <v>27</v>
      </c>
      <c r="C16" s="18">
        <f t="shared" ref="C16:O16" si="2">IFERROR(C11/C13,0)</f>
        <v>0</v>
      </c>
      <c r="D16" s="19">
        <f t="shared" si="2"/>
        <v>0</v>
      </c>
      <c r="E16" s="19">
        <f t="shared" si="2"/>
        <v>0</v>
      </c>
      <c r="F16" s="19">
        <f t="shared" si="2"/>
        <v>0</v>
      </c>
      <c r="G16" s="19">
        <f t="shared" si="2"/>
        <v>0</v>
      </c>
      <c r="H16" s="19">
        <f t="shared" si="2"/>
        <v>0</v>
      </c>
      <c r="I16" s="19">
        <f t="shared" si="2"/>
        <v>0</v>
      </c>
      <c r="J16" s="19">
        <f t="shared" si="2"/>
        <v>0</v>
      </c>
      <c r="K16" s="19">
        <f t="shared" si="2"/>
        <v>0</v>
      </c>
      <c r="L16" s="19">
        <f t="shared" si="2"/>
        <v>0</v>
      </c>
      <c r="M16" s="19">
        <f t="shared" si="2"/>
        <v>0</v>
      </c>
      <c r="N16" s="19">
        <f t="shared" si="2"/>
        <v>0</v>
      </c>
      <c r="O16" s="20">
        <f t="shared" si="2"/>
        <v>0</v>
      </c>
      <c r="P16" s="7"/>
      <c r="Q16" s="18">
        <f>IFERROR(Q11/Q13,0)</f>
        <v>0</v>
      </c>
      <c r="R16" s="19">
        <f>IFERROR(R11/R13,0)</f>
        <v>0</v>
      </c>
      <c r="S16" s="19">
        <f>IFERROR(S11/S13,0)</f>
        <v>0</v>
      </c>
      <c r="T16" s="19">
        <f>IFERROR(T11/T13,0)</f>
        <v>0</v>
      </c>
      <c r="U16" s="20">
        <f>IFERROR(U11/U13,0)</f>
        <v>0</v>
      </c>
    </row>
    <row r="17" spans="2:21" ht="15.75" thickBot="1"/>
    <row r="18" spans="2:21" ht="15.75" thickBot="1">
      <c r="B18" s="5" t="s">
        <v>28</v>
      </c>
      <c r="C18" s="21" t="e">
        <f>#REF!</f>
        <v>#REF!</v>
      </c>
      <c r="D18" s="22" t="e">
        <f>#REF!</f>
        <v>#REF!</v>
      </c>
      <c r="E18" s="22" t="e">
        <f>#REF!</f>
        <v>#REF!</v>
      </c>
      <c r="F18" s="22" t="e">
        <f>#REF!</f>
        <v>#REF!</v>
      </c>
      <c r="G18" s="22" t="e">
        <f>#REF!</f>
        <v>#REF!</v>
      </c>
      <c r="H18" s="22" t="e">
        <f>#REF!</f>
        <v>#REF!</v>
      </c>
      <c r="I18" s="22" t="e">
        <f>#REF!</f>
        <v>#REF!</v>
      </c>
      <c r="J18" s="22" t="e">
        <f>#REF!</f>
        <v>#REF!</v>
      </c>
      <c r="K18" s="22" t="e">
        <f>#REF!</f>
        <v>#REF!</v>
      </c>
      <c r="L18" s="22" t="e">
        <f>#REF!</f>
        <v>#REF!</v>
      </c>
      <c r="M18" s="22" t="e">
        <f>#REF!</f>
        <v>#REF!</v>
      </c>
      <c r="N18" s="22" t="e">
        <f>#REF!</f>
        <v>#REF!</v>
      </c>
      <c r="O18" s="12" t="e">
        <f>SUM(C18:N18)</f>
        <v>#REF!</v>
      </c>
      <c r="Q18" s="10" t="e">
        <f>SUM(C18:E18)</f>
        <v>#REF!</v>
      </c>
      <c r="R18" s="11" t="e">
        <f>SUM(F18:H18)</f>
        <v>#REF!</v>
      </c>
      <c r="S18" s="11" t="e">
        <f>SUM(I18:K18)</f>
        <v>#REF!</v>
      </c>
      <c r="T18" s="11" t="e">
        <f>SUM(L18:N18)</f>
        <v>#REF!</v>
      </c>
      <c r="U18" s="12" t="e">
        <f>SUM(Q18:T18)</f>
        <v>#REF!</v>
      </c>
    </row>
    <row r="19" spans="2:21" ht="15.75" thickBot="1">
      <c r="B19" s="5" t="s">
        <v>29</v>
      </c>
      <c r="C19" s="23" t="e">
        <f t="shared" ref="C19:U19" si="3">(C11-C8)-C18</f>
        <v>#REF!</v>
      </c>
      <c r="D19" s="24" t="e">
        <f t="shared" si="3"/>
        <v>#REF!</v>
      </c>
      <c r="E19" s="24" t="e">
        <f t="shared" si="3"/>
        <v>#REF!</v>
      </c>
      <c r="F19" s="24" t="e">
        <f t="shared" si="3"/>
        <v>#REF!</v>
      </c>
      <c r="G19" s="24" t="e">
        <f t="shared" si="3"/>
        <v>#REF!</v>
      </c>
      <c r="H19" s="24" t="e">
        <f t="shared" si="3"/>
        <v>#REF!</v>
      </c>
      <c r="I19" s="24" t="e">
        <f t="shared" si="3"/>
        <v>#REF!</v>
      </c>
      <c r="J19" s="24" t="e">
        <f t="shared" si="3"/>
        <v>#REF!</v>
      </c>
      <c r="K19" s="24" t="e">
        <f t="shared" si="3"/>
        <v>#REF!</v>
      </c>
      <c r="L19" s="24" t="e">
        <f t="shared" si="3"/>
        <v>#REF!</v>
      </c>
      <c r="M19" s="24" t="e">
        <f t="shared" si="3"/>
        <v>#REF!</v>
      </c>
      <c r="N19" s="24" t="e">
        <f t="shared" si="3"/>
        <v>#REF!</v>
      </c>
      <c r="O19" s="25" t="e">
        <f t="shared" si="3"/>
        <v>#REF!</v>
      </c>
      <c r="P19" s="26">
        <f t="shared" si="3"/>
        <v>0</v>
      </c>
      <c r="Q19" s="10" t="e">
        <f t="shared" si="3"/>
        <v>#REF!</v>
      </c>
      <c r="R19" s="11" t="e">
        <f t="shared" si="3"/>
        <v>#REF!</v>
      </c>
      <c r="S19" s="11" t="e">
        <f t="shared" si="3"/>
        <v>#REF!</v>
      </c>
      <c r="T19" s="11" t="e">
        <f t="shared" si="3"/>
        <v>#REF!</v>
      </c>
      <c r="U19" s="12" t="e">
        <f t="shared" si="3"/>
        <v>#REF!</v>
      </c>
    </row>
    <row r="20" spans="2:21" ht="15.75" thickBot="1">
      <c r="B20" s="5" t="s">
        <v>30</v>
      </c>
      <c r="C20" s="23" t="e">
        <f t="shared" ref="C20:O20" si="4">(C11-C8-C10)-C18</f>
        <v>#REF!</v>
      </c>
      <c r="D20" s="24" t="e">
        <f t="shared" si="4"/>
        <v>#REF!</v>
      </c>
      <c r="E20" s="24" t="e">
        <f t="shared" si="4"/>
        <v>#REF!</v>
      </c>
      <c r="F20" s="24" t="e">
        <f t="shared" si="4"/>
        <v>#REF!</v>
      </c>
      <c r="G20" s="24" t="e">
        <f t="shared" si="4"/>
        <v>#REF!</v>
      </c>
      <c r="H20" s="24" t="e">
        <f t="shared" si="4"/>
        <v>#REF!</v>
      </c>
      <c r="I20" s="24" t="e">
        <f t="shared" si="4"/>
        <v>#REF!</v>
      </c>
      <c r="J20" s="24" t="e">
        <f t="shared" si="4"/>
        <v>#REF!</v>
      </c>
      <c r="K20" s="24" t="e">
        <f t="shared" si="4"/>
        <v>#REF!</v>
      </c>
      <c r="L20" s="24" t="e">
        <f t="shared" si="4"/>
        <v>#REF!</v>
      </c>
      <c r="M20" s="24" t="e">
        <f t="shared" si="4"/>
        <v>#REF!</v>
      </c>
      <c r="N20" s="24" t="e">
        <f t="shared" si="4"/>
        <v>#REF!</v>
      </c>
      <c r="O20" s="25" t="e">
        <f t="shared" si="4"/>
        <v>#REF!</v>
      </c>
      <c r="Q20" s="10" t="e">
        <f>(Q11-Q8-Q10)-Q18</f>
        <v>#REF!</v>
      </c>
      <c r="R20" s="11" t="e">
        <f>(R11-R8-R10)-R18</f>
        <v>#REF!</v>
      </c>
      <c r="S20" s="11" t="e">
        <f>(S11-S8-S10)-S18</f>
        <v>#REF!</v>
      </c>
      <c r="T20" s="11" t="e">
        <f>(T11-T8-T10)-T18</f>
        <v>#REF!</v>
      </c>
      <c r="U20" s="12" t="e">
        <f>(U11-U8-U10)-U18</f>
        <v>#REF!</v>
      </c>
    </row>
    <row r="21" spans="2:21" outlineLevel="1">
      <c r="B21" s="5" t="s">
        <v>31</v>
      </c>
      <c r="C21" s="27" t="e">
        <f t="shared" ref="C21:O21" si="5">1-(C19/C7)</f>
        <v>#REF!</v>
      </c>
      <c r="D21" s="27" t="e">
        <f t="shared" si="5"/>
        <v>#REF!</v>
      </c>
      <c r="E21" s="27" t="e">
        <f t="shared" si="5"/>
        <v>#REF!</v>
      </c>
      <c r="F21" s="27" t="e">
        <f t="shared" si="5"/>
        <v>#REF!</v>
      </c>
      <c r="G21" s="27" t="e">
        <f t="shared" si="5"/>
        <v>#REF!</v>
      </c>
      <c r="H21" s="27" t="e">
        <f t="shared" si="5"/>
        <v>#REF!</v>
      </c>
      <c r="I21" s="27" t="e">
        <f t="shared" si="5"/>
        <v>#REF!</v>
      </c>
      <c r="J21" s="27" t="e">
        <f t="shared" si="5"/>
        <v>#REF!</v>
      </c>
      <c r="K21" s="27" t="e">
        <f t="shared" si="5"/>
        <v>#REF!</v>
      </c>
      <c r="L21" s="27" t="e">
        <f t="shared" si="5"/>
        <v>#REF!</v>
      </c>
      <c r="M21" s="27" t="e">
        <f t="shared" si="5"/>
        <v>#REF!</v>
      </c>
      <c r="N21" s="27" t="e">
        <f t="shared" si="5"/>
        <v>#REF!</v>
      </c>
      <c r="O21" s="27" t="e">
        <f t="shared" si="5"/>
        <v>#REF!</v>
      </c>
    </row>
    <row r="22" spans="2:21" outlineLevel="1">
      <c r="B22" s="5" t="s">
        <v>32</v>
      </c>
      <c r="C22" s="27" t="e">
        <f t="shared" ref="C22:O22" si="6">1-(C20/C7)</f>
        <v>#REF!</v>
      </c>
      <c r="D22" s="27" t="e">
        <f t="shared" si="6"/>
        <v>#REF!</v>
      </c>
      <c r="E22" s="27" t="e">
        <f t="shared" si="6"/>
        <v>#REF!</v>
      </c>
      <c r="F22" s="27" t="e">
        <f t="shared" si="6"/>
        <v>#REF!</v>
      </c>
      <c r="G22" s="27" t="e">
        <f t="shared" si="6"/>
        <v>#REF!</v>
      </c>
      <c r="H22" s="27" t="e">
        <f t="shared" si="6"/>
        <v>#REF!</v>
      </c>
      <c r="I22" s="27" t="e">
        <f t="shared" si="6"/>
        <v>#REF!</v>
      </c>
      <c r="J22" s="27" t="e">
        <f t="shared" si="6"/>
        <v>#REF!</v>
      </c>
      <c r="K22" s="27" t="e">
        <f t="shared" si="6"/>
        <v>#REF!</v>
      </c>
      <c r="L22" s="27" t="e">
        <f t="shared" si="6"/>
        <v>#REF!</v>
      </c>
      <c r="M22" s="27" t="e">
        <f t="shared" si="6"/>
        <v>#REF!</v>
      </c>
      <c r="N22" s="27" t="e">
        <f t="shared" si="6"/>
        <v>#REF!</v>
      </c>
      <c r="O22" s="27" t="e">
        <f t="shared" si="6"/>
        <v>#REF!</v>
      </c>
    </row>
    <row r="23" spans="2:21">
      <c r="O23" s="26"/>
    </row>
    <row r="32" spans="2:21">
      <c r="C32" s="28"/>
      <c r="D32" s="28"/>
      <c r="E32" s="28"/>
      <c r="F32" s="28"/>
      <c r="G32" s="28"/>
      <c r="H32" s="28"/>
      <c r="I32" s="28"/>
      <c r="J32" s="28"/>
      <c r="K32" s="28"/>
    </row>
    <row r="33" spans="2:11">
      <c r="B33" t="s">
        <v>33</v>
      </c>
      <c r="C33" t="s">
        <v>34</v>
      </c>
      <c r="D33" t="s">
        <v>35</v>
      </c>
      <c r="E33" t="s">
        <v>36</v>
      </c>
      <c r="F33" t="s">
        <v>37</v>
      </c>
      <c r="G33" t="s">
        <v>38</v>
      </c>
      <c r="H33" t="s">
        <v>39</v>
      </c>
      <c r="K33" s="26"/>
    </row>
    <row r="34" spans="2:11">
      <c r="B34" s="29">
        <v>42736</v>
      </c>
      <c r="C34">
        <v>5685607.3499999996</v>
      </c>
      <c r="D34">
        <v>-1788581.2299999997</v>
      </c>
      <c r="E34">
        <v>4016391.9499999997</v>
      </c>
      <c r="F34">
        <v>1878264.27</v>
      </c>
      <c r="G34">
        <v>2018761.85</v>
      </c>
      <c r="H34" t="s">
        <v>40</v>
      </c>
      <c r="K34" s="26"/>
    </row>
    <row r="35" spans="2:11">
      <c r="B35" s="29">
        <v>42767</v>
      </c>
      <c r="C35">
        <v>11800010.420000002</v>
      </c>
      <c r="D35">
        <v>-2856430.6399999997</v>
      </c>
      <c r="E35">
        <v>9296750.0800000019</v>
      </c>
      <c r="F35">
        <v>4016685.15</v>
      </c>
      <c r="G35">
        <v>4926894.6300000008</v>
      </c>
      <c r="H35" t="s">
        <v>40</v>
      </c>
      <c r="K35" s="28"/>
    </row>
    <row r="36" spans="2:11">
      <c r="B36" s="29">
        <v>42795</v>
      </c>
      <c r="C36">
        <v>52100485.659999996</v>
      </c>
      <c r="D36">
        <v>-14605117.550000001</v>
      </c>
      <c r="E36">
        <v>37812206.089999996</v>
      </c>
      <c r="F36">
        <v>18344092.66</v>
      </c>
      <c r="G36">
        <v>19151275.449999999</v>
      </c>
      <c r="H36" t="s">
        <v>40</v>
      </c>
      <c r="K36" s="26"/>
    </row>
    <row r="37" spans="2:11">
      <c r="B37" s="29">
        <v>42826</v>
      </c>
      <c r="C37">
        <v>7301738.2199999997</v>
      </c>
      <c r="D37">
        <v>-1551831.1999999997</v>
      </c>
      <c r="E37">
        <v>6713115.3900000006</v>
      </c>
      <c r="F37">
        <v>2777695.89</v>
      </c>
      <c r="G37">
        <v>2972211.1300000004</v>
      </c>
      <c r="H37" t="s">
        <v>40</v>
      </c>
      <c r="K37" s="26"/>
    </row>
    <row r="38" spans="2:11">
      <c r="B38" s="29">
        <v>42856</v>
      </c>
      <c r="C38">
        <v>37161575.909999996</v>
      </c>
      <c r="D38">
        <v>-11233139.389999999</v>
      </c>
      <c r="E38">
        <v>26474161.769999996</v>
      </c>
      <c r="F38">
        <v>11819915.710000001</v>
      </c>
      <c r="G38">
        <v>14108520.809999995</v>
      </c>
      <c r="H38" t="s">
        <v>40</v>
      </c>
      <c r="K38" s="28"/>
    </row>
    <row r="39" spans="2:11">
      <c r="B39" s="29">
        <v>42887</v>
      </c>
      <c r="C39">
        <v>56383121.220000006</v>
      </c>
      <c r="D39">
        <v>-15795727.970000001</v>
      </c>
      <c r="E39">
        <v>40996027.440000005</v>
      </c>
      <c r="F39">
        <v>22433121.120000001</v>
      </c>
      <c r="G39">
        <v>18154272.130000006</v>
      </c>
      <c r="H39" t="s">
        <v>40</v>
      </c>
      <c r="K39" s="26"/>
    </row>
    <row r="40" spans="2:11">
      <c r="B40" s="29">
        <v>42917</v>
      </c>
      <c r="C40">
        <v>10561346.299999999</v>
      </c>
      <c r="D40">
        <v>-2418393.6799999997</v>
      </c>
      <c r="E40">
        <v>8458291.9499999993</v>
      </c>
      <c r="F40">
        <v>1252562.3999999999</v>
      </c>
      <c r="G40">
        <v>6890390.2199999988</v>
      </c>
      <c r="H40" t="s">
        <v>40</v>
      </c>
    </row>
    <row r="41" spans="2:11">
      <c r="B41" s="29">
        <v>42948</v>
      </c>
      <c r="C41">
        <v>13634263.26</v>
      </c>
      <c r="D41">
        <v>-4193558.2300000004</v>
      </c>
      <c r="E41">
        <v>9547942.8699999992</v>
      </c>
      <c r="F41">
        <v>3285636.08</v>
      </c>
      <c r="G41">
        <v>6155068.9499999993</v>
      </c>
      <c r="H41" t="s">
        <v>40</v>
      </c>
    </row>
    <row r="42" spans="2:11">
      <c r="B42" s="29">
        <v>42979</v>
      </c>
      <c r="C42">
        <v>41203576.920000002</v>
      </c>
      <c r="D42">
        <v>-13049645.300000001</v>
      </c>
      <c r="E42">
        <v>28522744.18</v>
      </c>
      <c r="F42">
        <v>14139044.33</v>
      </c>
      <c r="G42">
        <v>14014887.289999997</v>
      </c>
      <c r="H42" t="s">
        <v>40</v>
      </c>
    </row>
    <row r="43" spans="2:11">
      <c r="B43" s="29">
        <v>43009</v>
      </c>
      <c r="C43">
        <v>9091552.7699999996</v>
      </c>
      <c r="D43">
        <v>-4511387.99</v>
      </c>
      <c r="E43">
        <v>4749773.8099999987</v>
      </c>
      <c r="F43">
        <v>2969694.62</v>
      </c>
      <c r="G43">
        <v>1610470.1599999983</v>
      </c>
      <c r="H43" t="s">
        <v>40</v>
      </c>
    </row>
    <row r="44" spans="2:11">
      <c r="B44" s="29">
        <v>43040</v>
      </c>
      <c r="C44">
        <v>22323586.460000001</v>
      </c>
      <c r="D44">
        <v>-5866465.9299999997</v>
      </c>
      <c r="E44">
        <v>16729240.750000002</v>
      </c>
      <c r="F44">
        <v>8475910.1600000001</v>
      </c>
      <c r="G44">
        <v>7981210.370000001</v>
      </c>
      <c r="H44" t="s">
        <v>40</v>
      </c>
    </row>
    <row r="45" spans="2:11">
      <c r="B45" s="29">
        <v>43070</v>
      </c>
      <c r="C45">
        <v>75437243.090000004</v>
      </c>
      <c r="D45">
        <v>-25021588.690000001</v>
      </c>
      <c r="E45">
        <v>50904481.640000008</v>
      </c>
      <c r="F45">
        <v>27484452.57</v>
      </c>
      <c r="G45">
        <v>22931201.830000006</v>
      </c>
      <c r="H45" t="s">
        <v>40</v>
      </c>
    </row>
  </sheetData>
  <mergeCells count="2">
    <mergeCell ref="C5:O5"/>
    <mergeCell ref="Q5:U5"/>
  </mergeCells>
  <pageMargins left="0.7" right="0.7" top="0.75" bottom="0.75" header="0.3" footer="0.3"/>
  <customProperties>
    <customPr name="_pios_id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V119"/>
  <sheetViews>
    <sheetView tabSelected="1" topLeftCell="A46" zoomScale="70" zoomScaleNormal="70" workbookViewId="0">
      <selection activeCell="A120" sqref="A120"/>
    </sheetView>
  </sheetViews>
  <sheetFormatPr defaultRowHeight="15"/>
  <cols>
    <col min="1" max="1" width="47.42578125" bestFit="1" customWidth="1"/>
    <col min="2" max="2" width="48.140625" bestFit="1" customWidth="1"/>
    <col min="3" max="3" width="39.7109375" bestFit="1" customWidth="1"/>
    <col min="4" max="4" width="41" bestFit="1" customWidth="1"/>
    <col min="5" max="5" width="39.7109375" bestFit="1" customWidth="1"/>
    <col min="6" max="6" width="22.5703125" hidden="1" customWidth="1"/>
    <col min="7" max="7" width="32.140625" bestFit="1" customWidth="1"/>
    <col min="8" max="8" width="28.5703125" hidden="1" customWidth="1"/>
    <col min="9" max="9" width="34.5703125" hidden="1" customWidth="1"/>
    <col min="10" max="10" width="51.42578125" hidden="1" customWidth="1"/>
    <col min="11" max="11" width="26.5703125" hidden="1" customWidth="1"/>
    <col min="12" max="12" width="30.5703125" hidden="1" customWidth="1"/>
    <col min="13" max="13" width="40.42578125" hidden="1" customWidth="1"/>
    <col min="14" max="14" width="40.7109375" style="40" bestFit="1" customWidth="1"/>
    <col min="15" max="15" width="50.7109375" bestFit="1" customWidth="1"/>
    <col min="16" max="16" width="52.140625" bestFit="1" customWidth="1"/>
    <col min="17" max="17" width="21.5703125" bestFit="1" customWidth="1"/>
    <col min="18" max="18" width="13.5703125" bestFit="1" customWidth="1"/>
    <col min="19" max="19" width="16.42578125" bestFit="1" customWidth="1"/>
    <col min="20" max="20" width="13.5703125" bestFit="1" customWidth="1"/>
    <col min="21" max="21" width="13.42578125" bestFit="1" customWidth="1"/>
  </cols>
  <sheetData>
    <row r="1" spans="1:22">
      <c r="A1" t="str">
        <f xml:space="preserve"> _xll.EPMOlapMemberO("[ACCOUNT].[PARENTH1].[ETERMCOSGM]","","ETERMCOSGM - Terminal Cost of Sales Gaming","","000")</f>
        <v>ETERMCOSGM - Terminal Cost of Sales Gaming</v>
      </c>
    </row>
    <row r="2" spans="1:22">
      <c r="A2" t="str">
        <f xml:space="preserve"> _xll.EPMOlapMemberO("[VERSION].[PARENTH1].[ACTUAL]","","Actual","","000")</f>
        <v>Actual</v>
      </c>
    </row>
    <row r="3" spans="1:22">
      <c r="A3" t="str">
        <f xml:space="preserve"> _xll.EPMOlapMemberO("[FUNCTIONALAREA].[PARENTH1].[PROD]","","Product","","000")</f>
        <v>Product</v>
      </c>
    </row>
    <row r="4" spans="1:22">
      <c r="A4" t="str">
        <f xml:space="preserve"> _xll.EPMOlapMemberO("[GAME].[PARENTH1].[ALL_GAME]","","All Games","","000")</f>
        <v>All Games</v>
      </c>
    </row>
    <row r="5" spans="1:22">
      <c r="A5" t="str">
        <f xml:space="preserve"> _xll.EPMOlapMemberO("[INPUTCURRENCY].[PARENTH1].[30]","","USD","","000")</f>
        <v>USD</v>
      </c>
    </row>
    <row r="6" spans="1:22">
      <c r="A6" t="str">
        <f xml:space="preserve"> _xll.EPMOlapMemberO("[PROBABILITY].[PARENTH2].[PLAN]","","Plan","","000")</f>
        <v>Plan</v>
      </c>
    </row>
    <row r="7" spans="1:22">
      <c r="A7" t="str">
        <f xml:space="preserve"> _xll.EPMOlapMemberO("[PRODUCT].[PARENTH1].[ALL_PROD]","","All Products","","000")</f>
        <v>All Products</v>
      </c>
    </row>
    <row r="8" spans="1:22">
      <c r="A8" t="str">
        <f xml:space="preserve"> _xll.EPMOlapMemberO("[PROJECT].[PARENTH1].[ALL_PROJ]","","All Projects","","000")</f>
        <v>All Projects</v>
      </c>
    </row>
    <row r="9" spans="1:22">
      <c r="A9" t="str">
        <f xml:space="preserve"> _xll.EPMOlapMemberO("[COMPANYCODE].[PARENTH1].[ALL_CC2]","","IGT Company Codes","","000")</f>
        <v>IGT Company Codes</v>
      </c>
    </row>
    <row r="10" spans="1:22">
      <c r="A10" t="str">
        <f xml:space="preserve"> _xll.EPMOlapMemberO("[MEASURES].[].[PERIODIC]","","Periodic","","000")</f>
        <v>Periodic</v>
      </c>
    </row>
    <row r="11" spans="1:22">
      <c r="B11" s="36" t="str">
        <f xml:space="preserve"> _xll.EPMOlapMemberO("[PROFITCENTER].[PARENTH1].[01NAMGMINT01]","","01NAMGMINT01 - North America Gaming","","000")</f>
        <v>01NAMGMINT01 - North America Gaming</v>
      </c>
      <c r="C11" s="36" t="str">
        <f xml:space="preserve"> _xll.EPMOlapMemberO("[PROFITCENTER].[PARENTH1].[01NASALES_01]","","01NASALES_01 - Eastern Region","","000")</f>
        <v>01NASALES_01 - Eastern Region</v>
      </c>
      <c r="D11" s="36" t="str">
        <f xml:space="preserve"> _xll.EPMOlapMemberO("[PROFITCENTER].[PARENTH1].[01LNALOGM_01]","","01LNALOGM_01 - Western Region","","000")</f>
        <v>01LNALOGM_01 - Western Region</v>
      </c>
      <c r="E11" s="36" t="str">
        <f xml:space="preserve"> _xll.EPMOlapMemberO("[PROFITCENTER].[PARENTH1].[01GMCENTRL01]","","01GMCENTRL01 - Central Region","","000")</f>
        <v>01GMCENTRL01 - Central Region</v>
      </c>
      <c r="F11" s="36" t="str">
        <f xml:space="preserve"> _xll.EPMOlapMemberO("[PROFITCENTER].[PARENTH1].[01GMMLT___01]","","01GMMLT___01 - Military","","000")</f>
        <v>01GMMLT___01 - Military</v>
      </c>
      <c r="G11" s="36" t="str">
        <f xml:space="preserve"> _xll.EPMOlapMemberO("[PROFITCENTER].[PARENTH1].[01GMCANADA01]","","01GMCANADA01 - Canada","","000")</f>
        <v>01GMCANADA01 - Canada</v>
      </c>
      <c r="H11" s="36" t="str">
        <f xml:space="preserve"> _xll.EPMOlapMemberO("[PROFITCENTER].[PARENTH1].[01GMISWAP_01]","","01GMISWAP_01 - Interstate WAP","","000")</f>
        <v>01GMISWAP_01 - Interstate WAP</v>
      </c>
      <c r="I11" s="36" t="str">
        <f xml:space="preserve"> _xll.EPMOlapMemberO("[PROFITCENTER].[PARENTH1].[01GMNAMMJP01]","","01GMNAMMJP01 - Native American MJP","","000")</f>
        <v>01GMNAMMJP01 - Native American MJP</v>
      </c>
      <c r="J11" s="36" t="str">
        <f xml:space="preserve"> _xll.EPMOlapMemberO("[PROFITCENTER].[PARENTH1].[01GMNASLS_01]","","01GMNASLS_01 - NA Sales Strategy &amp; Business Development","","000")</f>
        <v>01GMNASLS_01 - NA Sales Strategy &amp; Business Development</v>
      </c>
      <c r="K11" s="36" t="str">
        <f xml:space="preserve"> _xll.EPMOlapMemberO("[PROFITCENTER].[PARENTH1].[01GMSYSLS_01]","","01GMSYSLS_01 - Systems Sales","","000")</f>
        <v>01GMSYSLS_01 - Systems Sales</v>
      </c>
      <c r="L11" s="36" t="str">
        <f xml:space="preserve"> _xll.EPMOlapMemberO("[PROFITCENTER].[PARENTH1].[01GMGBLMKT01]","","01GMGBLMKT01 - Global Marketing","","000")</f>
        <v>01GMGBLMKT01 - Global Marketing</v>
      </c>
      <c r="M11" s="36" t="str">
        <f xml:space="preserve"> _xll.EPMOlapMemberO("[PROFITCENTER].[PARENTH1].[01GMINTPRP01]","","01GMINTPRP01 - Intellectual Property Revenue","","000")</f>
        <v>01GMINTPRP01 - Intellectual Property Revenue</v>
      </c>
      <c r="N11" s="36" t="str">
        <f xml:space="preserve"> _xll.EPMOlapMemberO("[PROFITCENTER].[PARENTH1].[01GMPSCBT_01]","","01GMPSCBT_01 - PlaySocial/CBT","","000")</f>
        <v>01GMPSCBT_01 - PlaySocial/CBT</v>
      </c>
      <c r="O11" s="41" t="str">
        <f xml:space="preserve"> _xll.EPMOlapMemberO("[PROFITCENTER].[PARENTH1].[01GMNASUPP01]","","01GMNASUPP01 - N Amer Gaming Support","","000")</f>
        <v>01GMNASUPP01 - N Amer Gaming Support</v>
      </c>
      <c r="P11" s="37" t="str">
        <f xml:space="preserve"> _xll.EPMOlapMemberO("[PROFITCENTER].[PARENTH1].[01EVERI___01]","","01EVERI___01 - Everi Games North America","","000")</f>
        <v>01EVERI___01 - Everi Games North America</v>
      </c>
      <c r="Q11" s="37" t="s">
        <v>41</v>
      </c>
      <c r="R11" s="37" t="s">
        <v>42</v>
      </c>
      <c r="S11" s="37" t="s">
        <v>43</v>
      </c>
      <c r="T11" s="37" t="s">
        <v>44</v>
      </c>
      <c r="U11" s="39" t="s">
        <v>45</v>
      </c>
      <c r="V11" s="37" t="s">
        <v>46</v>
      </c>
    </row>
    <row r="12" spans="1:22">
      <c r="A12" s="44" t="str">
        <f xml:space="preserve"> _xll.EPMOlapMemberO("[TIME].[PARENTH1].[2017.JAN]","","2017.JAN - Jan-17","","000")</f>
        <v>2017.JAN - Jan-17</v>
      </c>
      <c r="B12">
        <f>SUM(C12:P12)</f>
        <v>1878233.87</v>
      </c>
      <c r="C12">
        <v>1121124.6200000001</v>
      </c>
      <c r="D12">
        <v>536755.52</v>
      </c>
      <c r="E12">
        <v>156427.51999999999</v>
      </c>
      <c r="G12">
        <v>62831.56</v>
      </c>
      <c r="N12"/>
      <c r="O12" s="40">
        <v>1094.6500000000001</v>
      </c>
      <c r="P12" s="7"/>
      <c r="Q12" s="7">
        <f t="shared" ref="Q12:Q43" si="0">B12-SUM(C12:O12)</f>
        <v>0</v>
      </c>
      <c r="R12" s="7">
        <f t="shared" ref="R12:R43" si="1">C12+D12+E12+O12</f>
        <v>1815402.31</v>
      </c>
      <c r="S12" s="7">
        <f t="shared" ref="S12:S43" si="2">G12</f>
        <v>62831.56</v>
      </c>
      <c r="T12" s="7">
        <f>SUM(R12:S12)</f>
        <v>1878233.87</v>
      </c>
      <c r="V12" s="7">
        <f t="shared" ref="V12:V43" si="3">T12-B12</f>
        <v>0</v>
      </c>
    </row>
    <row r="13" spans="1:22">
      <c r="A13" s="44" t="str">
        <f xml:space="preserve"> _xll.EPMOlapMemberO("[TIME].[PARENTH1].[2017.FEB]","","2017.FEB - Feb-17","","000")</f>
        <v>2017.FEB - Feb-17</v>
      </c>
      <c r="B13">
        <f t="shared" ref="B13:B76" si="4">SUM(C13:P13)</f>
        <v>4016685.1500000004</v>
      </c>
      <c r="C13">
        <v>1874159.77</v>
      </c>
      <c r="D13">
        <v>1909537.04</v>
      </c>
      <c r="E13">
        <v>430098.92</v>
      </c>
      <c r="G13">
        <v>-183895.2</v>
      </c>
      <c r="N13"/>
      <c r="O13" s="40">
        <v>-13215.38</v>
      </c>
      <c r="P13" s="7"/>
      <c r="Q13" s="7">
        <f t="shared" si="0"/>
        <v>0</v>
      </c>
      <c r="R13" s="7">
        <f t="shared" si="1"/>
        <v>4200580.3500000006</v>
      </c>
      <c r="S13" s="7">
        <f t="shared" si="2"/>
        <v>-183895.2</v>
      </c>
      <c r="T13" s="7">
        <f t="shared" ref="T13:T55" si="5">SUM(R13:S13)</f>
        <v>4016685.1500000004</v>
      </c>
      <c r="V13" s="7">
        <f t="shared" si="3"/>
        <v>0</v>
      </c>
    </row>
    <row r="14" spans="1:22">
      <c r="A14" s="44" t="str">
        <f xml:space="preserve"> _xll.EPMOlapMemberO("[TIME].[PARENTH1].[2017.MAR]","","2017.MAR - Mar-17","","000")</f>
        <v>2017.MAR - Mar-17</v>
      </c>
      <c r="B14">
        <f t="shared" si="4"/>
        <v>18344176.939999998</v>
      </c>
      <c r="C14">
        <v>6225464.1900000004</v>
      </c>
      <c r="D14">
        <v>7342442.1399999997</v>
      </c>
      <c r="E14">
        <v>3612622.83</v>
      </c>
      <c r="G14">
        <v>1276270.47</v>
      </c>
      <c r="N14"/>
      <c r="O14" s="40">
        <v>-112622.69</v>
      </c>
      <c r="P14" s="7"/>
      <c r="Q14" s="7">
        <f t="shared" si="0"/>
        <v>0</v>
      </c>
      <c r="R14" s="7">
        <f t="shared" si="1"/>
        <v>17067906.469999999</v>
      </c>
      <c r="S14" s="7">
        <f t="shared" si="2"/>
        <v>1276270.47</v>
      </c>
      <c r="T14" s="7">
        <f t="shared" si="5"/>
        <v>18344176.939999998</v>
      </c>
      <c r="V14" s="7">
        <f t="shared" si="3"/>
        <v>0</v>
      </c>
    </row>
    <row r="15" spans="1:22">
      <c r="A15" s="44" t="str">
        <f xml:space="preserve"> _xll.EPMOlapMemberO("[TIME].[PARENTH1].[2017.APR]","","2017.APR - Apr-17","","000")</f>
        <v>2017.APR - Apr-17</v>
      </c>
      <c r="B15">
        <f t="shared" si="4"/>
        <v>2389483.7499999995</v>
      </c>
      <c r="C15">
        <v>1265809.21</v>
      </c>
      <c r="D15">
        <v>945274.59</v>
      </c>
      <c r="E15">
        <v>633693.68999999994</v>
      </c>
      <c r="G15">
        <v>-487437.47</v>
      </c>
      <c r="N15"/>
      <c r="O15" s="40">
        <v>32143.73</v>
      </c>
      <c r="P15" s="7"/>
      <c r="Q15" s="7">
        <f t="shared" si="0"/>
        <v>0</v>
      </c>
      <c r="R15" s="7">
        <f t="shared" si="1"/>
        <v>2876921.2199999997</v>
      </c>
      <c r="S15" s="7">
        <f t="shared" si="2"/>
        <v>-487437.47</v>
      </c>
      <c r="T15" s="7">
        <f t="shared" si="5"/>
        <v>2389483.75</v>
      </c>
      <c r="V15" s="7">
        <f t="shared" si="3"/>
        <v>0</v>
      </c>
    </row>
    <row r="16" spans="1:22">
      <c r="A16" s="44" t="str">
        <f xml:space="preserve"> _xll.EPMOlapMemberO("[TIME].[PARENTH1].[2017.MAY]","","2017.MAY - May-17","","000")</f>
        <v>2017.MAY - May-17</v>
      </c>
      <c r="B16">
        <f t="shared" si="4"/>
        <v>12136254.949999999</v>
      </c>
      <c r="C16">
        <v>674324.72</v>
      </c>
      <c r="D16">
        <v>10826163.189999999</v>
      </c>
      <c r="E16">
        <v>693160.78</v>
      </c>
      <c r="G16">
        <v>-56106.71</v>
      </c>
      <c r="N16"/>
      <c r="O16" s="40">
        <v>-1287.03</v>
      </c>
      <c r="P16" s="7"/>
      <c r="Q16" s="7">
        <f t="shared" si="0"/>
        <v>0</v>
      </c>
      <c r="R16" s="7">
        <f t="shared" si="1"/>
        <v>12192361.66</v>
      </c>
      <c r="S16" s="7">
        <f t="shared" si="2"/>
        <v>-56106.71</v>
      </c>
      <c r="T16" s="7">
        <f t="shared" si="5"/>
        <v>12136254.949999999</v>
      </c>
      <c r="V16" s="7">
        <f t="shared" si="3"/>
        <v>0</v>
      </c>
    </row>
    <row r="17" spans="1:22">
      <c r="A17" s="44" t="str">
        <f xml:space="preserve"> _xll.EPMOlapMemberO("[TIME].[PARENTH1].[2017.JUN]","","2017.JUN - Jun-17","","000")</f>
        <v>2017.JUN - Jun-17</v>
      </c>
      <c r="B17">
        <f t="shared" si="4"/>
        <v>22293159.020000003</v>
      </c>
      <c r="C17">
        <v>3931543.94</v>
      </c>
      <c r="D17">
        <v>11331179.710000001</v>
      </c>
      <c r="E17">
        <v>2871996.54</v>
      </c>
      <c r="G17">
        <v>4153966.19</v>
      </c>
      <c r="N17"/>
      <c r="O17" s="40">
        <v>4472.6400000000003</v>
      </c>
      <c r="P17" s="7"/>
      <c r="Q17" s="7">
        <f t="shared" si="0"/>
        <v>0</v>
      </c>
      <c r="R17" s="7">
        <f t="shared" si="1"/>
        <v>18139192.830000002</v>
      </c>
      <c r="S17" s="7">
        <f t="shared" si="2"/>
        <v>4153966.19</v>
      </c>
      <c r="T17" s="7">
        <f t="shared" si="5"/>
        <v>22293159.020000003</v>
      </c>
      <c r="V17" s="7">
        <f t="shared" si="3"/>
        <v>0</v>
      </c>
    </row>
    <row r="18" spans="1:22">
      <c r="A18" s="44" t="str">
        <f xml:space="preserve"> _xll.EPMOlapMemberO("[TIME].[PARENTH1].[2017.JUL]","","2017.JUL - Jul-17","","000")</f>
        <v>2017.JUL - Jul-17</v>
      </c>
      <c r="B18">
        <f t="shared" si="4"/>
        <v>1392512.5</v>
      </c>
      <c r="C18">
        <v>834827.31</v>
      </c>
      <c r="D18">
        <v>895269.23</v>
      </c>
      <c r="E18">
        <v>872554.07</v>
      </c>
      <c r="G18">
        <v>-1211933.8999999999</v>
      </c>
      <c r="N18"/>
      <c r="O18" s="40">
        <v>1795.79</v>
      </c>
      <c r="P18" s="7"/>
      <c r="Q18" s="7">
        <f t="shared" si="0"/>
        <v>0</v>
      </c>
      <c r="R18" s="7">
        <f t="shared" si="1"/>
        <v>2604446.4</v>
      </c>
      <c r="S18" s="7">
        <f t="shared" si="2"/>
        <v>-1211933.8999999999</v>
      </c>
      <c r="T18" s="7">
        <f t="shared" si="5"/>
        <v>1392512.5</v>
      </c>
      <c r="V18" s="7">
        <f t="shared" si="3"/>
        <v>0</v>
      </c>
    </row>
    <row r="19" spans="1:22">
      <c r="A19" s="44" t="str">
        <f xml:space="preserve"> _xll.EPMOlapMemberO("[TIME].[PARENTH1].[2017.AUG]","","2017.AUG - Aug-17","","000")</f>
        <v>2017.AUG - Aug-17</v>
      </c>
      <c r="B19">
        <f t="shared" si="4"/>
        <v>3285388.16</v>
      </c>
      <c r="C19">
        <v>1521178.63</v>
      </c>
      <c r="D19">
        <v>1003818.81</v>
      </c>
      <c r="E19">
        <v>652516.76</v>
      </c>
      <c r="G19">
        <v>111262.46</v>
      </c>
      <c r="N19"/>
      <c r="O19" s="40">
        <v>-3388.5</v>
      </c>
      <c r="P19" s="7"/>
      <c r="Q19" s="7">
        <f t="shared" si="0"/>
        <v>0</v>
      </c>
      <c r="R19" s="7">
        <f t="shared" si="1"/>
        <v>3174125.7</v>
      </c>
      <c r="S19" s="7">
        <f t="shared" si="2"/>
        <v>111262.46</v>
      </c>
      <c r="T19" s="7">
        <f t="shared" si="5"/>
        <v>3285388.16</v>
      </c>
      <c r="V19" s="7">
        <f t="shared" si="3"/>
        <v>0</v>
      </c>
    </row>
    <row r="20" spans="1:22">
      <c r="A20" s="44" t="str">
        <f xml:space="preserve"> _xll.EPMOlapMemberO("[TIME].[PARENTH1].[2017.SEP]","","2017.SEP - Sep-17","","000")</f>
        <v>2017.SEP - Sep-17</v>
      </c>
      <c r="B20">
        <f t="shared" si="4"/>
        <v>17899577.479999997</v>
      </c>
      <c r="C20">
        <v>6179708.9199999999</v>
      </c>
      <c r="D20">
        <v>8864820.1199999992</v>
      </c>
      <c r="E20">
        <v>2075445.2</v>
      </c>
      <c r="G20">
        <v>774628.59</v>
      </c>
      <c r="N20"/>
      <c r="O20" s="40">
        <v>4974.6499999999996</v>
      </c>
      <c r="P20" s="7"/>
      <c r="Q20" s="7">
        <f t="shared" si="0"/>
        <v>0</v>
      </c>
      <c r="R20" s="7">
        <f t="shared" si="1"/>
        <v>17124948.889999997</v>
      </c>
      <c r="S20" s="7">
        <f t="shared" si="2"/>
        <v>774628.59</v>
      </c>
      <c r="T20" s="7">
        <f t="shared" si="5"/>
        <v>17899577.479999997</v>
      </c>
      <c r="V20" s="7">
        <f t="shared" si="3"/>
        <v>0</v>
      </c>
    </row>
    <row r="21" spans="1:22">
      <c r="A21" s="44" t="str">
        <f xml:space="preserve"> _xll.EPMOlapMemberO("[TIME].[PARENTH1].[2017.OCT]","","2017.OCT - Oct-17","","000")</f>
        <v>2017.OCT - Oct-17</v>
      </c>
      <c r="B21">
        <f t="shared" si="4"/>
        <v>3180425.4400000004</v>
      </c>
      <c r="C21">
        <v>1395725.81</v>
      </c>
      <c r="D21">
        <v>659842.02</v>
      </c>
      <c r="E21">
        <v>541243.79</v>
      </c>
      <c r="G21">
        <v>579167.18000000005</v>
      </c>
      <c r="N21"/>
      <c r="O21" s="40">
        <v>4446.6400000000003</v>
      </c>
      <c r="P21" s="7"/>
      <c r="Q21" s="7">
        <f t="shared" si="0"/>
        <v>0</v>
      </c>
      <c r="R21" s="7">
        <f t="shared" si="1"/>
        <v>2601258.2600000002</v>
      </c>
      <c r="S21" s="7">
        <f t="shared" si="2"/>
        <v>579167.18000000005</v>
      </c>
      <c r="T21" s="7">
        <f t="shared" si="5"/>
        <v>3180425.4400000004</v>
      </c>
      <c r="V21" s="7">
        <f t="shared" si="3"/>
        <v>0</v>
      </c>
    </row>
    <row r="22" spans="1:22">
      <c r="A22" s="44" t="str">
        <f xml:space="preserve"> _xll.EPMOlapMemberO("[TIME].[PARENTH1].[2017.NOV]","","2017.NOV - Nov-17","","000")</f>
        <v>2017.NOV - Nov-17</v>
      </c>
      <c r="B22">
        <f t="shared" si="4"/>
        <v>8485995.1799999978</v>
      </c>
      <c r="C22">
        <v>5160686.5999999996</v>
      </c>
      <c r="D22">
        <v>2260875.83</v>
      </c>
      <c r="E22">
        <v>434095.39</v>
      </c>
      <c r="G22">
        <v>617645.57999999996</v>
      </c>
      <c r="N22"/>
      <c r="O22" s="40">
        <v>12691.78</v>
      </c>
      <c r="P22" s="7"/>
      <c r="Q22" s="7">
        <f t="shared" si="0"/>
        <v>0</v>
      </c>
      <c r="R22" s="7">
        <f t="shared" si="1"/>
        <v>7868349.5999999996</v>
      </c>
      <c r="S22" s="7">
        <f t="shared" si="2"/>
        <v>617645.57999999996</v>
      </c>
      <c r="T22" s="7">
        <f t="shared" si="5"/>
        <v>8485995.1799999997</v>
      </c>
      <c r="V22" s="7">
        <f t="shared" si="3"/>
        <v>0</v>
      </c>
    </row>
    <row r="23" spans="1:22">
      <c r="A23" s="44" t="str">
        <f xml:space="preserve"> _xll.EPMOlapMemberO("[TIME].[PARENTH1].[2017.DEC]","","2017.DEC - Dec-17","","000")</f>
        <v>2017.DEC - Dec-17</v>
      </c>
      <c r="B23">
        <f t="shared" si="4"/>
        <v>27835191.569999997</v>
      </c>
      <c r="C23">
        <v>7787419.1699999999</v>
      </c>
      <c r="D23">
        <v>9680784.3699999992</v>
      </c>
      <c r="E23">
        <v>5010824.84</v>
      </c>
      <c r="G23">
        <v>5358610.72</v>
      </c>
      <c r="N23"/>
      <c r="O23" s="40">
        <v>-2447.5300000000002</v>
      </c>
      <c r="P23" s="7"/>
      <c r="Q23" s="7">
        <f t="shared" si="0"/>
        <v>0</v>
      </c>
      <c r="R23" s="7">
        <f t="shared" si="1"/>
        <v>22476580.849999998</v>
      </c>
      <c r="S23" s="7">
        <f t="shared" si="2"/>
        <v>5358610.72</v>
      </c>
      <c r="T23" s="7">
        <f t="shared" si="5"/>
        <v>27835191.569999997</v>
      </c>
      <c r="V23" s="7">
        <f t="shared" si="3"/>
        <v>0</v>
      </c>
    </row>
    <row r="24" spans="1:22">
      <c r="A24" s="44" t="str">
        <f xml:space="preserve"> _xll.EPMOlapMemberO("[TIME].[PARENTH1].[2018.JAN]","","2018.JAN - Jan-18","","000")</f>
        <v>2018.JAN - Jan-18</v>
      </c>
      <c r="B24">
        <f t="shared" si="4"/>
        <v>3316048.0700000003</v>
      </c>
      <c r="C24">
        <v>1404173.14</v>
      </c>
      <c r="D24">
        <v>1057062.6499999999</v>
      </c>
      <c r="E24">
        <v>680579.87</v>
      </c>
      <c r="G24">
        <v>113089.66</v>
      </c>
      <c r="N24"/>
      <c r="O24" s="40">
        <v>61142.75</v>
      </c>
      <c r="P24" s="7"/>
      <c r="Q24" s="7">
        <f t="shared" si="0"/>
        <v>0</v>
      </c>
      <c r="R24" s="7">
        <f t="shared" si="1"/>
        <v>3202958.41</v>
      </c>
      <c r="S24" s="7">
        <f t="shared" si="2"/>
        <v>113089.66</v>
      </c>
      <c r="T24" s="7">
        <f t="shared" si="5"/>
        <v>3316048.0700000003</v>
      </c>
      <c r="V24" s="7">
        <f t="shared" si="3"/>
        <v>0</v>
      </c>
    </row>
    <row r="25" spans="1:22">
      <c r="A25" s="44" t="str">
        <f xml:space="preserve"> _xll.EPMOlapMemberO("[TIME].[PARENTH1].[2018.FEB]","","2018.FEB - Feb-18","","000")</f>
        <v>2018.FEB - Feb-18</v>
      </c>
      <c r="B25">
        <f t="shared" si="4"/>
        <v>8075669.8200000003</v>
      </c>
      <c r="C25">
        <v>5770958.6200000001</v>
      </c>
      <c r="D25">
        <v>789939.21</v>
      </c>
      <c r="E25">
        <v>615903.56000000006</v>
      </c>
      <c r="G25">
        <v>898905.02</v>
      </c>
      <c r="N25"/>
      <c r="O25" s="40">
        <v>-36.590000000000003</v>
      </c>
      <c r="P25" s="7"/>
      <c r="Q25" s="7">
        <f t="shared" si="0"/>
        <v>0</v>
      </c>
      <c r="R25" s="7">
        <f t="shared" si="1"/>
        <v>7176764.8000000007</v>
      </c>
      <c r="S25" s="7">
        <f t="shared" si="2"/>
        <v>898905.02</v>
      </c>
      <c r="T25" s="7">
        <f t="shared" si="5"/>
        <v>8075669.8200000003</v>
      </c>
      <c r="V25" s="7">
        <f t="shared" si="3"/>
        <v>0</v>
      </c>
    </row>
    <row r="26" spans="1:22">
      <c r="A26" s="44" t="str">
        <f xml:space="preserve"> _xll.EPMOlapMemberO("[TIME].[PARENTH1].[2018.MAR]","","2018.MAR - Mar-18","","000")</f>
        <v>2018.MAR - Mar-18</v>
      </c>
      <c r="B26">
        <f t="shared" si="4"/>
        <v>16269093.84</v>
      </c>
      <c r="C26">
        <v>6539344.1799999997</v>
      </c>
      <c r="D26">
        <v>6452659.0899999999</v>
      </c>
      <c r="E26">
        <v>2354864.3199999998</v>
      </c>
      <c r="G26">
        <v>944413.54</v>
      </c>
      <c r="N26"/>
      <c r="O26" s="40">
        <v>-22187.29</v>
      </c>
      <c r="P26" s="7"/>
      <c r="Q26" s="7">
        <f t="shared" si="0"/>
        <v>0</v>
      </c>
      <c r="R26" s="7">
        <f t="shared" si="1"/>
        <v>15324680.300000001</v>
      </c>
      <c r="S26" s="7">
        <f t="shared" si="2"/>
        <v>944413.54</v>
      </c>
      <c r="T26" s="7">
        <f t="shared" si="5"/>
        <v>16269093.84</v>
      </c>
      <c r="V26" s="7">
        <f t="shared" si="3"/>
        <v>0</v>
      </c>
    </row>
    <row r="27" spans="1:22">
      <c r="A27" s="44" t="str">
        <f xml:space="preserve"> _xll.EPMOlapMemberO("[TIME].[PARENTH1].[2018.APR]","","2018.APR - Apr-18","","000")</f>
        <v>2018.APR - Apr-18</v>
      </c>
      <c r="B27">
        <f t="shared" si="4"/>
        <v>3400886.75</v>
      </c>
      <c r="C27">
        <v>2630384.83</v>
      </c>
      <c r="D27">
        <v>200011.36</v>
      </c>
      <c r="E27">
        <v>493322.67</v>
      </c>
      <c r="G27">
        <v>102235.46</v>
      </c>
      <c r="N27"/>
      <c r="O27" s="40">
        <v>-25067.57</v>
      </c>
      <c r="P27" s="7"/>
      <c r="Q27" s="7">
        <f t="shared" si="0"/>
        <v>0</v>
      </c>
      <c r="R27" s="7">
        <f t="shared" si="1"/>
        <v>3298651.29</v>
      </c>
      <c r="S27" s="7">
        <f t="shared" si="2"/>
        <v>102235.46</v>
      </c>
      <c r="T27" s="7">
        <f t="shared" si="5"/>
        <v>3400886.75</v>
      </c>
      <c r="V27" s="7">
        <f t="shared" si="3"/>
        <v>0</v>
      </c>
    </row>
    <row r="28" spans="1:22">
      <c r="A28" s="44" t="str">
        <f xml:space="preserve"> _xll.EPMOlapMemberO("[TIME].[PARENTH1].[2018.MAY]","","2018.MAY - May-18","","000")</f>
        <v>2018.MAY - May-18</v>
      </c>
      <c r="B28">
        <f t="shared" si="4"/>
        <v>7310299.0700000003</v>
      </c>
      <c r="C28">
        <v>4111164.05</v>
      </c>
      <c r="D28">
        <v>1991394.2</v>
      </c>
      <c r="E28">
        <v>628346.67000000004</v>
      </c>
      <c r="G28">
        <v>624625.49</v>
      </c>
      <c r="N28"/>
      <c r="O28" s="40">
        <v>-45231.34</v>
      </c>
      <c r="P28" s="7"/>
      <c r="Q28" s="7">
        <f t="shared" si="0"/>
        <v>0</v>
      </c>
      <c r="R28" s="7">
        <f t="shared" si="1"/>
        <v>6685673.5800000001</v>
      </c>
      <c r="S28" s="7">
        <f t="shared" si="2"/>
        <v>624625.49</v>
      </c>
      <c r="T28" s="7">
        <f t="shared" si="5"/>
        <v>7310299.0700000003</v>
      </c>
      <c r="V28" s="7">
        <f t="shared" si="3"/>
        <v>0</v>
      </c>
    </row>
    <row r="29" spans="1:22">
      <c r="A29" s="44" t="str">
        <f xml:space="preserve"> _xll.EPMOlapMemberO("[TIME].[PARENTH1].[2018.JUN]","","2018.JUN - Jun-18","","000")</f>
        <v>2018.JUN - Jun-18</v>
      </c>
      <c r="B29">
        <f t="shared" si="4"/>
        <v>20028270.300000001</v>
      </c>
      <c r="C29">
        <v>10524818.75</v>
      </c>
      <c r="D29">
        <v>6297980.5099999998</v>
      </c>
      <c r="E29">
        <v>1650425.69</v>
      </c>
      <c r="G29">
        <v>1529520.26</v>
      </c>
      <c r="N29"/>
      <c r="O29" s="40">
        <v>25525.09</v>
      </c>
      <c r="P29" s="7"/>
      <c r="Q29" s="7">
        <f t="shared" si="0"/>
        <v>0</v>
      </c>
      <c r="R29" s="7">
        <f t="shared" si="1"/>
        <v>18498750.039999999</v>
      </c>
      <c r="S29" s="7">
        <f t="shared" si="2"/>
        <v>1529520.26</v>
      </c>
      <c r="T29" s="7">
        <f t="shared" si="5"/>
        <v>20028270.300000001</v>
      </c>
      <c r="V29" s="7">
        <f t="shared" si="3"/>
        <v>0</v>
      </c>
    </row>
    <row r="30" spans="1:22">
      <c r="A30" s="44" t="str">
        <f xml:space="preserve"> _xll.EPMOlapMemberO("[TIME].[PARENTH1].[2018.JUL]","","2018.JUL - Jul-18","","000")</f>
        <v>2018.JUL - Jul-18</v>
      </c>
      <c r="B30">
        <f t="shared" si="4"/>
        <v>4641002.8099999996</v>
      </c>
      <c r="C30">
        <v>368629.29</v>
      </c>
      <c r="D30">
        <v>1247963.6299999999</v>
      </c>
      <c r="E30">
        <v>743226.1</v>
      </c>
      <c r="G30">
        <v>2239367.08</v>
      </c>
      <c r="N30"/>
      <c r="O30" s="40">
        <v>41816.71</v>
      </c>
      <c r="P30" s="7"/>
      <c r="Q30" s="7">
        <f t="shared" si="0"/>
        <v>0</v>
      </c>
      <c r="R30" s="7">
        <f t="shared" si="1"/>
        <v>2401635.73</v>
      </c>
      <c r="S30" s="7">
        <f t="shared" si="2"/>
        <v>2239367.08</v>
      </c>
      <c r="T30" s="7">
        <f t="shared" si="5"/>
        <v>4641002.8100000005</v>
      </c>
      <c r="V30" s="7">
        <f t="shared" si="3"/>
        <v>0</v>
      </c>
    </row>
    <row r="31" spans="1:22">
      <c r="A31" s="44" t="str">
        <f xml:space="preserve"> _xll.EPMOlapMemberO("[TIME].[PARENTH1].[2018.AUG]","","2018.AUG - Aug-18","","000")</f>
        <v>2018.AUG - Aug-18</v>
      </c>
      <c r="B31">
        <f t="shared" si="4"/>
        <v>5436703.7600000007</v>
      </c>
      <c r="C31">
        <v>1487832.21</v>
      </c>
      <c r="D31">
        <v>2642174.7000000002</v>
      </c>
      <c r="E31">
        <v>710957.06</v>
      </c>
      <c r="G31">
        <v>597932.82999999996</v>
      </c>
      <c r="N31"/>
      <c r="O31" s="40">
        <v>-2193.04</v>
      </c>
      <c r="P31" s="7"/>
      <c r="Q31" s="7">
        <f t="shared" si="0"/>
        <v>0</v>
      </c>
      <c r="R31" s="7">
        <f t="shared" si="1"/>
        <v>4838770.9300000006</v>
      </c>
      <c r="S31" s="7">
        <f t="shared" si="2"/>
        <v>597932.82999999996</v>
      </c>
      <c r="T31" s="7">
        <f t="shared" si="5"/>
        <v>5436703.7600000007</v>
      </c>
      <c r="V31" s="7">
        <f t="shared" si="3"/>
        <v>0</v>
      </c>
    </row>
    <row r="32" spans="1:22">
      <c r="A32" s="44" t="str">
        <f xml:space="preserve"> _xll.EPMOlapMemberO("[TIME].[PARENTH1].[2018.SEP]","","2018.SEP - Sep-18","","000")</f>
        <v>2018.SEP - Sep-18</v>
      </c>
      <c r="B32">
        <f t="shared" si="4"/>
        <v>15680837.020000001</v>
      </c>
      <c r="C32">
        <v>6146030.1900000004</v>
      </c>
      <c r="D32">
        <v>8683336.5399999991</v>
      </c>
      <c r="E32">
        <v>835936.8</v>
      </c>
      <c r="G32">
        <v>333702.68</v>
      </c>
      <c r="N32"/>
      <c r="O32" s="40">
        <v>-318169.19</v>
      </c>
      <c r="P32" s="7"/>
      <c r="Q32" s="7">
        <f t="shared" si="0"/>
        <v>0</v>
      </c>
      <c r="R32" s="7">
        <f t="shared" si="1"/>
        <v>15347134.340000002</v>
      </c>
      <c r="S32" s="7">
        <f t="shared" si="2"/>
        <v>333702.68</v>
      </c>
      <c r="T32" s="7">
        <f t="shared" si="5"/>
        <v>15680837.020000001</v>
      </c>
      <c r="V32" s="7">
        <f t="shared" si="3"/>
        <v>0</v>
      </c>
    </row>
    <row r="33" spans="1:22">
      <c r="A33" s="44" t="str">
        <f xml:space="preserve"> _xll.EPMOlapMemberO("[TIME].[PARENTH1].[2018.OCT]","","2018.OCT - Oct-18","","000")</f>
        <v>2018.OCT - Oct-18</v>
      </c>
      <c r="B33">
        <f t="shared" si="4"/>
        <v>8522102.5199999996</v>
      </c>
      <c r="C33">
        <v>1264788.2</v>
      </c>
      <c r="D33">
        <v>2986946.1</v>
      </c>
      <c r="E33">
        <v>435708.95</v>
      </c>
      <c r="G33">
        <v>3612822.18</v>
      </c>
      <c r="N33"/>
      <c r="O33" s="40">
        <v>221837.09</v>
      </c>
      <c r="P33" s="7"/>
      <c r="Q33" s="7">
        <f t="shared" si="0"/>
        <v>0</v>
      </c>
      <c r="R33" s="7">
        <f t="shared" si="1"/>
        <v>4909280.34</v>
      </c>
      <c r="S33" s="7">
        <f t="shared" si="2"/>
        <v>3612822.18</v>
      </c>
      <c r="T33" s="7">
        <f t="shared" si="5"/>
        <v>8522102.5199999996</v>
      </c>
      <c r="V33" s="7">
        <f t="shared" si="3"/>
        <v>0</v>
      </c>
    </row>
    <row r="34" spans="1:22">
      <c r="A34" s="44" t="str">
        <f xml:space="preserve"> _xll.EPMOlapMemberO("[TIME].[PARENTH1].[2018.NOV]","","2018.NOV - Nov-18","","000")</f>
        <v>2018.NOV - Nov-18</v>
      </c>
      <c r="B34">
        <f t="shared" si="4"/>
        <v>8738003.3900000006</v>
      </c>
      <c r="C34">
        <v>2119915.13</v>
      </c>
      <c r="D34">
        <v>3617919.66</v>
      </c>
      <c r="E34">
        <v>1769901.73</v>
      </c>
      <c r="G34">
        <v>1432511.64</v>
      </c>
      <c r="N34"/>
      <c r="O34" s="40">
        <v>-202244.77</v>
      </c>
      <c r="P34" s="7"/>
      <c r="Q34" s="7">
        <f t="shared" si="0"/>
        <v>0</v>
      </c>
      <c r="R34" s="7">
        <f t="shared" si="1"/>
        <v>7305491.75</v>
      </c>
      <c r="S34" s="7">
        <f t="shared" si="2"/>
        <v>1432511.64</v>
      </c>
      <c r="T34" s="7">
        <f t="shared" si="5"/>
        <v>8738003.3900000006</v>
      </c>
      <c r="V34" s="7">
        <f t="shared" si="3"/>
        <v>0</v>
      </c>
    </row>
    <row r="35" spans="1:22">
      <c r="A35" s="44" t="str">
        <f xml:space="preserve"> _xll.EPMOlapMemberO("[TIME].[PARENTH1].[2018.DEC]","","2018.DEC - Dec-18","","000")</f>
        <v>2018.DEC - Dec-18</v>
      </c>
      <c r="B35">
        <f t="shared" si="4"/>
        <v>36105874.140000001</v>
      </c>
      <c r="C35">
        <v>6897428.8099999996</v>
      </c>
      <c r="D35">
        <v>9498220.6400000006</v>
      </c>
      <c r="E35">
        <v>4272256.53</v>
      </c>
      <c r="G35">
        <v>14904558.17</v>
      </c>
      <c r="N35"/>
      <c r="O35" s="40">
        <v>533409.99</v>
      </c>
      <c r="P35" s="7"/>
      <c r="Q35" s="7">
        <f t="shared" si="0"/>
        <v>0</v>
      </c>
      <c r="R35" s="7">
        <f t="shared" si="1"/>
        <v>21201315.969999999</v>
      </c>
      <c r="S35" s="7">
        <f t="shared" si="2"/>
        <v>14904558.17</v>
      </c>
      <c r="T35" s="7">
        <f t="shared" si="5"/>
        <v>36105874.140000001</v>
      </c>
      <c r="V35" s="7">
        <f t="shared" si="3"/>
        <v>0</v>
      </c>
    </row>
    <row r="36" spans="1:22">
      <c r="A36" s="44" t="str">
        <f xml:space="preserve"> _xll.EPMOlapMemberO("[TIME].[PARENTH1].[2019.JAN]","","2019.JAN - Jan-19","","000")</f>
        <v>2019.JAN - Jan-19</v>
      </c>
      <c r="B36">
        <f t="shared" si="4"/>
        <v>3088887.62</v>
      </c>
      <c r="C36">
        <v>767470.87</v>
      </c>
      <c r="D36">
        <v>1245165.55</v>
      </c>
      <c r="E36">
        <v>1035583.89</v>
      </c>
      <c r="G36">
        <v>164371.42000000001</v>
      </c>
      <c r="N36"/>
      <c r="O36" s="40">
        <v>-123704.11</v>
      </c>
      <c r="P36" s="7"/>
      <c r="Q36" s="7">
        <f t="shared" si="0"/>
        <v>0</v>
      </c>
      <c r="R36" s="7">
        <f t="shared" si="1"/>
        <v>2924516.2</v>
      </c>
      <c r="S36" s="7">
        <f t="shared" si="2"/>
        <v>164371.42000000001</v>
      </c>
      <c r="T36" s="7">
        <f t="shared" si="5"/>
        <v>3088887.62</v>
      </c>
      <c r="V36" s="7">
        <f t="shared" si="3"/>
        <v>0</v>
      </c>
    </row>
    <row r="37" spans="1:22">
      <c r="A37" s="44" t="str">
        <f xml:space="preserve"> _xll.EPMOlapMemberO("[TIME].[PARENTH1].[2019.FEB]","","2019.FEB - Feb-19","","000")</f>
        <v>2019.FEB - Feb-19</v>
      </c>
      <c r="B37">
        <f t="shared" si="4"/>
        <v>3950480.72</v>
      </c>
      <c r="C37">
        <v>1327947.5</v>
      </c>
      <c r="D37">
        <v>1105905.01</v>
      </c>
      <c r="E37">
        <v>726108.04</v>
      </c>
      <c r="G37">
        <v>656660.69999999995</v>
      </c>
      <c r="N37"/>
      <c r="O37" s="40">
        <v>133859.47</v>
      </c>
      <c r="P37" s="7"/>
      <c r="Q37" s="7">
        <f t="shared" si="0"/>
        <v>0</v>
      </c>
      <c r="R37" s="7">
        <f t="shared" si="1"/>
        <v>3293820.02</v>
      </c>
      <c r="S37" s="7">
        <f t="shared" si="2"/>
        <v>656660.69999999995</v>
      </c>
      <c r="T37" s="7">
        <f t="shared" si="5"/>
        <v>3950480.7199999997</v>
      </c>
      <c r="V37" s="7">
        <f t="shared" si="3"/>
        <v>0</v>
      </c>
    </row>
    <row r="38" spans="1:22">
      <c r="A38" s="44" t="str">
        <f xml:space="preserve"> _xll.EPMOlapMemberO("[TIME].[PARENTH1].[2019.MAR]","","2019.MAR - Mar-19","","000")</f>
        <v>2019.MAR - Mar-19</v>
      </c>
      <c r="B38">
        <f t="shared" si="4"/>
        <v>22176120.699999999</v>
      </c>
      <c r="C38">
        <v>11353560.6</v>
      </c>
      <c r="D38">
        <v>7528585.6600000001</v>
      </c>
      <c r="E38">
        <v>1741977.08</v>
      </c>
      <c r="G38">
        <v>1554705.26</v>
      </c>
      <c r="N38"/>
      <c r="O38" s="40">
        <v>-2707.9</v>
      </c>
      <c r="P38" s="7"/>
      <c r="Q38" s="7">
        <f t="shared" si="0"/>
        <v>0</v>
      </c>
      <c r="R38" s="7">
        <f t="shared" si="1"/>
        <v>20621415.439999998</v>
      </c>
      <c r="S38" s="7">
        <f t="shared" si="2"/>
        <v>1554705.26</v>
      </c>
      <c r="T38" s="7">
        <f t="shared" si="5"/>
        <v>22176120.699999999</v>
      </c>
      <c r="V38" s="7">
        <f t="shared" si="3"/>
        <v>0</v>
      </c>
    </row>
    <row r="39" spans="1:22">
      <c r="A39" s="44" t="str">
        <f xml:space="preserve"> _xll.EPMOlapMemberO("[TIME].[PARENTH1].[2019.APR]","","2019.APR - Apr-19","","000")</f>
        <v>2019.APR - Apr-19</v>
      </c>
      <c r="B39">
        <f t="shared" si="4"/>
        <v>3906013.16</v>
      </c>
      <c r="C39">
        <v>2175486.4700000002</v>
      </c>
      <c r="D39">
        <v>1235374.1299999999</v>
      </c>
      <c r="E39">
        <v>374748.86</v>
      </c>
      <c r="G39">
        <v>124137.24</v>
      </c>
      <c r="N39"/>
      <c r="O39" s="40">
        <v>-3733.54</v>
      </c>
      <c r="P39" s="7"/>
      <c r="Q39" s="7">
        <f t="shared" si="0"/>
        <v>0</v>
      </c>
      <c r="R39" s="7">
        <f t="shared" si="1"/>
        <v>3781875.92</v>
      </c>
      <c r="S39" s="7">
        <f t="shared" si="2"/>
        <v>124137.24</v>
      </c>
      <c r="T39" s="7">
        <f t="shared" si="5"/>
        <v>3906013.16</v>
      </c>
      <c r="V39" s="7">
        <f t="shared" si="3"/>
        <v>0</v>
      </c>
    </row>
    <row r="40" spans="1:22">
      <c r="A40" s="44" t="str">
        <f xml:space="preserve"> _xll.EPMOlapMemberO("[TIME].[PARENTH1].[2019.MAY]","","2019.MAY - May-19","","000")</f>
        <v>2019.MAY - May-19</v>
      </c>
      <c r="B40">
        <f t="shared" si="4"/>
        <v>8496589.4199999999</v>
      </c>
      <c r="C40">
        <v>3600709.54</v>
      </c>
      <c r="D40">
        <v>3241268.14</v>
      </c>
      <c r="E40">
        <v>1039035.07</v>
      </c>
      <c r="G40">
        <v>617667.13</v>
      </c>
      <c r="N40"/>
      <c r="O40" s="40">
        <v>-2090.46</v>
      </c>
      <c r="P40" s="7"/>
      <c r="Q40" s="7">
        <f t="shared" si="0"/>
        <v>0</v>
      </c>
      <c r="R40" s="7">
        <f t="shared" si="1"/>
        <v>7878922.29</v>
      </c>
      <c r="S40" s="7">
        <f t="shared" si="2"/>
        <v>617667.13</v>
      </c>
      <c r="T40" s="7">
        <f t="shared" si="5"/>
        <v>8496589.4199999999</v>
      </c>
      <c r="V40" s="7">
        <f t="shared" si="3"/>
        <v>0</v>
      </c>
    </row>
    <row r="41" spans="1:22">
      <c r="A41" s="44" t="str">
        <f xml:space="preserve"> _xll.EPMOlapMemberO("[TIME].[PARENTH1].[2019.JUN]","","2019.JUN - Jun-19","","000")</f>
        <v>2019.JUN - Jun-19</v>
      </c>
      <c r="B41">
        <f t="shared" si="4"/>
        <v>20025300.970000003</v>
      </c>
      <c r="C41">
        <v>3556661.07</v>
      </c>
      <c r="D41">
        <v>10529970.42</v>
      </c>
      <c r="E41">
        <v>2710330.52</v>
      </c>
      <c r="G41">
        <v>3238372.39</v>
      </c>
      <c r="N41"/>
      <c r="O41" s="40">
        <v>-10033.43</v>
      </c>
      <c r="P41" s="7"/>
      <c r="Q41" s="7">
        <f t="shared" si="0"/>
        <v>0</v>
      </c>
      <c r="R41" s="7">
        <f t="shared" si="1"/>
        <v>16786928.580000002</v>
      </c>
      <c r="S41" s="7">
        <f t="shared" si="2"/>
        <v>3238372.39</v>
      </c>
      <c r="T41" s="7">
        <f t="shared" si="5"/>
        <v>20025300.970000003</v>
      </c>
      <c r="V41" s="7">
        <f t="shared" si="3"/>
        <v>0</v>
      </c>
    </row>
    <row r="42" spans="1:22">
      <c r="A42" s="44" t="str">
        <f xml:space="preserve"> _xll.EPMOlapMemberO("[TIME].[PARENTH1].[2019.JUL]","","2019.JUL - Jul-19","","000")</f>
        <v>2019.JUL - Jul-19</v>
      </c>
      <c r="B42">
        <f t="shared" si="4"/>
        <v>4490098.21</v>
      </c>
      <c r="C42">
        <v>2402780.86</v>
      </c>
      <c r="D42">
        <v>1407962.4</v>
      </c>
      <c r="E42">
        <v>313415.23</v>
      </c>
      <c r="G42">
        <v>365010.88</v>
      </c>
      <c r="N42"/>
      <c r="O42" s="40">
        <v>928.84</v>
      </c>
      <c r="P42" s="7"/>
      <c r="Q42" s="7">
        <f t="shared" si="0"/>
        <v>0</v>
      </c>
      <c r="R42" s="7">
        <f t="shared" si="1"/>
        <v>4125087.3299999996</v>
      </c>
      <c r="S42" s="7">
        <f t="shared" si="2"/>
        <v>365010.88</v>
      </c>
      <c r="T42" s="7">
        <f t="shared" si="5"/>
        <v>4490098.21</v>
      </c>
      <c r="V42" s="7">
        <f t="shared" si="3"/>
        <v>0</v>
      </c>
    </row>
    <row r="43" spans="1:22">
      <c r="A43" s="44" t="str">
        <f xml:space="preserve"> _xll.EPMOlapMemberO("[TIME].[PARENTH1].[2019.AUG]","","2019.AUG - Aug-19","","000")</f>
        <v>2019.AUG - Aug-19</v>
      </c>
      <c r="B43">
        <f t="shared" si="4"/>
        <v>7662806.0599999996</v>
      </c>
      <c r="C43">
        <v>3448597.99</v>
      </c>
      <c r="D43">
        <v>2367607.5099999998</v>
      </c>
      <c r="E43">
        <v>749186.07</v>
      </c>
      <c r="G43">
        <v>1089471.52</v>
      </c>
      <c r="N43"/>
      <c r="O43" s="40">
        <v>7942.97</v>
      </c>
      <c r="P43" s="7"/>
      <c r="Q43" s="7">
        <f t="shared" si="0"/>
        <v>0</v>
      </c>
      <c r="R43" s="7">
        <f t="shared" si="1"/>
        <v>6573334.54</v>
      </c>
      <c r="S43" s="7">
        <f t="shared" si="2"/>
        <v>1089471.52</v>
      </c>
      <c r="T43" s="7">
        <f t="shared" si="5"/>
        <v>7662806.0600000005</v>
      </c>
      <c r="V43" s="7">
        <f t="shared" si="3"/>
        <v>0</v>
      </c>
    </row>
    <row r="44" spans="1:22">
      <c r="A44" s="44" t="str">
        <f xml:space="preserve"> _xll.EPMOlapMemberO("[TIME].[PARENTH1].[2019.SEP]","","2019.SEP - Sep-19","","000")</f>
        <v>2019.SEP - Sep-19</v>
      </c>
      <c r="B44">
        <f t="shared" si="4"/>
        <v>20591745.740000002</v>
      </c>
      <c r="C44">
        <v>6731996.3899999997</v>
      </c>
      <c r="D44">
        <v>7027340.3399999999</v>
      </c>
      <c r="E44">
        <v>3152383.03</v>
      </c>
      <c r="G44">
        <v>3677227.51</v>
      </c>
      <c r="N44"/>
      <c r="O44" s="40">
        <v>2798.47</v>
      </c>
      <c r="P44" s="7"/>
      <c r="Q44" s="7">
        <f t="shared" ref="Q44:Q75" si="6">B44-SUM(C44:O44)</f>
        <v>0</v>
      </c>
      <c r="R44" s="7">
        <f t="shared" ref="R44:R75" si="7">C44+D44+E44+O44</f>
        <v>16914518.23</v>
      </c>
      <c r="S44" s="7">
        <f t="shared" ref="S44:S75" si="8">G44</f>
        <v>3677227.51</v>
      </c>
      <c r="T44" s="7">
        <f t="shared" si="5"/>
        <v>20591745.740000002</v>
      </c>
      <c r="V44" s="7">
        <f t="shared" ref="V44:V75" si="9">T44-B44</f>
        <v>0</v>
      </c>
    </row>
    <row r="45" spans="1:22">
      <c r="A45" s="44" t="str">
        <f xml:space="preserve"> _xll.EPMOlapMemberO("[TIME].[PARENTH1].[2019.OCT]","","2019.OCT - Oct-19","","000")</f>
        <v>2019.OCT - Oct-19</v>
      </c>
      <c r="B45">
        <f t="shared" si="4"/>
        <v>3023204.89</v>
      </c>
      <c r="C45">
        <v>1737040.24</v>
      </c>
      <c r="D45">
        <v>327991.71000000002</v>
      </c>
      <c r="E45">
        <v>475298.88</v>
      </c>
      <c r="G45">
        <v>487297.87</v>
      </c>
      <c r="N45"/>
      <c r="O45" s="40">
        <v>-4423.8100000000004</v>
      </c>
      <c r="P45" s="7"/>
      <c r="Q45" s="7">
        <f t="shared" si="6"/>
        <v>0</v>
      </c>
      <c r="R45" s="7">
        <f t="shared" si="7"/>
        <v>2535907.02</v>
      </c>
      <c r="S45" s="7">
        <f t="shared" si="8"/>
        <v>487297.87</v>
      </c>
      <c r="T45" s="7">
        <f t="shared" si="5"/>
        <v>3023204.89</v>
      </c>
      <c r="V45" s="7">
        <f t="shared" si="9"/>
        <v>0</v>
      </c>
    </row>
    <row r="46" spans="1:22">
      <c r="A46" s="44" t="str">
        <f xml:space="preserve"> _xll.EPMOlapMemberO("[TIME].[PARENTH1].[2019.NOV]","","2019.NOV - Nov-19","","000")</f>
        <v>2019.NOV - Nov-19</v>
      </c>
      <c r="B46">
        <f t="shared" si="4"/>
        <v>10092057.030000001</v>
      </c>
      <c r="C46">
        <v>2389337.19</v>
      </c>
      <c r="D46">
        <v>2240198.6</v>
      </c>
      <c r="E46">
        <v>2067569.91</v>
      </c>
      <c r="G46">
        <v>3394433.87</v>
      </c>
      <c r="N46"/>
      <c r="O46" s="40">
        <v>517.46</v>
      </c>
      <c r="P46" s="7"/>
      <c r="Q46" s="7">
        <f t="shared" si="6"/>
        <v>0</v>
      </c>
      <c r="R46" s="7">
        <f t="shared" si="7"/>
        <v>6697623.1600000001</v>
      </c>
      <c r="S46" s="7">
        <f t="shared" si="8"/>
        <v>3394433.87</v>
      </c>
      <c r="T46" s="7">
        <f t="shared" si="5"/>
        <v>10092057.030000001</v>
      </c>
      <c r="V46" s="7">
        <f t="shared" si="9"/>
        <v>0</v>
      </c>
    </row>
    <row r="47" spans="1:22">
      <c r="A47" s="44" t="str">
        <f xml:space="preserve"> _xll.EPMOlapMemberO("[TIME].[PARENTH1].[2019.DEC]","","2019.DEC - Dec-19","","000")</f>
        <v>2019.DEC - Dec-19</v>
      </c>
      <c r="B47">
        <f t="shared" si="4"/>
        <v>37654534.510000005</v>
      </c>
      <c r="C47">
        <v>11231090.66</v>
      </c>
      <c r="D47">
        <v>14377839.84</v>
      </c>
      <c r="E47">
        <v>5953618.7300000004</v>
      </c>
      <c r="G47">
        <v>5696400.54</v>
      </c>
      <c r="N47"/>
      <c r="O47" s="40">
        <v>395584.74</v>
      </c>
      <c r="P47" s="7"/>
      <c r="Q47" s="7">
        <f t="shared" si="6"/>
        <v>0</v>
      </c>
      <c r="R47" s="7">
        <f t="shared" si="7"/>
        <v>31958133.969999999</v>
      </c>
      <c r="S47" s="7">
        <f t="shared" si="8"/>
        <v>5696400.54</v>
      </c>
      <c r="T47" s="7">
        <f t="shared" si="5"/>
        <v>37654534.509999998</v>
      </c>
      <c r="V47" s="7">
        <f t="shared" si="9"/>
        <v>0</v>
      </c>
    </row>
    <row r="48" spans="1:22">
      <c r="A48" s="44" t="str">
        <f xml:space="preserve"> _xll.EPMOlapMemberO("[TIME].[PARENTH1].[2020.JAN]","","2020.JAN - Jan-20","","000")</f>
        <v>2020.JAN - Jan-20</v>
      </c>
      <c r="B48">
        <f t="shared" si="4"/>
        <v>2376191.6599999997</v>
      </c>
      <c r="C48">
        <v>1270501.42</v>
      </c>
      <c r="D48">
        <v>401014.82</v>
      </c>
      <c r="E48">
        <v>1061428.31</v>
      </c>
      <c r="G48">
        <v>-14053.81</v>
      </c>
      <c r="N48"/>
      <c r="O48" s="40">
        <v>-342699.08</v>
      </c>
      <c r="P48" s="7"/>
      <c r="Q48" s="7">
        <f t="shared" si="6"/>
        <v>0</v>
      </c>
      <c r="R48" s="7">
        <f t="shared" si="7"/>
        <v>2390245.4699999997</v>
      </c>
      <c r="S48" s="7">
        <f t="shared" si="8"/>
        <v>-14053.81</v>
      </c>
      <c r="T48" s="7">
        <f t="shared" si="5"/>
        <v>2376191.6599999997</v>
      </c>
      <c r="V48" s="7">
        <f t="shared" si="9"/>
        <v>0</v>
      </c>
    </row>
    <row r="49" spans="1:22">
      <c r="A49" s="44" t="str">
        <f xml:space="preserve"> _xll.EPMOlapMemberO("[TIME].[PARENTH1].[2020.FEB]","","2020.FEB - Feb-20","","000")</f>
        <v>2020.FEB - Feb-20</v>
      </c>
      <c r="B49">
        <f t="shared" si="4"/>
        <v>3239738</v>
      </c>
      <c r="C49">
        <v>1087098.6299999999</v>
      </c>
      <c r="D49">
        <v>971724.25</v>
      </c>
      <c r="E49">
        <v>921677.41</v>
      </c>
      <c r="G49">
        <v>264677.94</v>
      </c>
      <c r="N49"/>
      <c r="O49" s="40">
        <v>-5440.23</v>
      </c>
      <c r="P49" s="7"/>
      <c r="Q49" s="7">
        <f t="shared" si="6"/>
        <v>0</v>
      </c>
      <c r="R49" s="7">
        <f t="shared" si="7"/>
        <v>2975060.06</v>
      </c>
      <c r="S49" s="7">
        <f t="shared" si="8"/>
        <v>264677.94</v>
      </c>
      <c r="T49" s="7">
        <f t="shared" si="5"/>
        <v>3239738</v>
      </c>
      <c r="U49" s="38">
        <v>43862</v>
      </c>
      <c r="V49" s="7">
        <f t="shared" si="9"/>
        <v>0</v>
      </c>
    </row>
    <row r="50" spans="1:22">
      <c r="A50" s="44" t="str">
        <f xml:space="preserve"> _xll.EPMOlapMemberO("[TIME].[PARENTH1].[2020.MAR]","","2020.MAR - Mar-20","","000")</f>
        <v>2020.MAR - Mar-20</v>
      </c>
      <c r="B50">
        <f t="shared" si="4"/>
        <v>7741686.25</v>
      </c>
      <c r="C50">
        <v>2086759.79</v>
      </c>
      <c r="D50">
        <v>4031712.38</v>
      </c>
      <c r="E50">
        <v>524730.17000000004</v>
      </c>
      <c r="G50">
        <v>1098515.93</v>
      </c>
      <c r="N50"/>
      <c r="O50" s="40">
        <v>-32.020000000000003</v>
      </c>
      <c r="P50" s="7"/>
      <c r="Q50" s="7">
        <f t="shared" si="6"/>
        <v>0</v>
      </c>
      <c r="R50" s="7">
        <f t="shared" si="7"/>
        <v>6643170.3200000003</v>
      </c>
      <c r="S50" s="7">
        <f t="shared" si="8"/>
        <v>1098515.93</v>
      </c>
      <c r="T50" s="7">
        <f t="shared" si="5"/>
        <v>7741686.25</v>
      </c>
      <c r="U50" s="38">
        <v>43891</v>
      </c>
      <c r="V50" s="7">
        <f t="shared" si="9"/>
        <v>0</v>
      </c>
    </row>
    <row r="51" spans="1:22">
      <c r="A51" s="44" t="str">
        <f xml:space="preserve"> _xll.EPMOlapMemberO("[TIME].[PARENTH1].[2020.APR]","","2020.APR - Apr-20","","000")</f>
        <v>2020.APR - Apr-20</v>
      </c>
      <c r="B51">
        <f t="shared" si="4"/>
        <v>300882.64999999997</v>
      </c>
      <c r="C51">
        <v>54699.09</v>
      </c>
      <c r="D51">
        <v>207017.76</v>
      </c>
      <c r="E51">
        <v>7494.71</v>
      </c>
      <c r="G51">
        <v>32650.73</v>
      </c>
      <c r="N51"/>
      <c r="O51" s="40">
        <v>-979.64</v>
      </c>
      <c r="P51" s="7"/>
      <c r="Q51" s="7">
        <f t="shared" si="6"/>
        <v>0</v>
      </c>
      <c r="R51" s="7">
        <f t="shared" si="7"/>
        <v>268231.92</v>
      </c>
      <c r="S51" s="7">
        <f t="shared" si="8"/>
        <v>32650.73</v>
      </c>
      <c r="T51" s="7">
        <f t="shared" si="5"/>
        <v>300882.64999999997</v>
      </c>
      <c r="U51" s="38">
        <v>43922</v>
      </c>
      <c r="V51" s="7">
        <f t="shared" si="9"/>
        <v>0</v>
      </c>
    </row>
    <row r="52" spans="1:22">
      <c r="A52" s="44" t="str">
        <f xml:space="preserve"> _xll.EPMOlapMemberO("[TIME].[PARENTH1].[2020.MAY]","","2020.MAY - May-20","","000")</f>
        <v>2020.MAY - May-20</v>
      </c>
      <c r="B52">
        <f t="shared" si="4"/>
        <v>2966810.58</v>
      </c>
      <c r="C52">
        <v>2528587.36</v>
      </c>
      <c r="D52">
        <v>447310.26</v>
      </c>
      <c r="E52">
        <v>-797</v>
      </c>
      <c r="G52">
        <v>-6227.17</v>
      </c>
      <c r="N52"/>
      <c r="O52" s="40">
        <v>-2062.87</v>
      </c>
      <c r="P52" s="7"/>
      <c r="Q52" s="7">
        <f t="shared" si="6"/>
        <v>0</v>
      </c>
      <c r="R52" s="7">
        <f t="shared" si="7"/>
        <v>2973037.75</v>
      </c>
      <c r="S52" s="7">
        <f t="shared" si="8"/>
        <v>-6227.17</v>
      </c>
      <c r="T52" s="7">
        <f t="shared" si="5"/>
        <v>2966810.58</v>
      </c>
      <c r="U52" s="38">
        <v>43952</v>
      </c>
      <c r="V52" s="7">
        <f t="shared" si="9"/>
        <v>0</v>
      </c>
    </row>
    <row r="53" spans="1:22">
      <c r="A53" s="44" t="str">
        <f xml:space="preserve"> _xll.EPMOlapMemberO("[TIME].[PARENTH1].[2020.JUN]","","2020.JUN - Jun-20","","000")</f>
        <v>2020.JUN - Jun-20</v>
      </c>
      <c r="B53">
        <f t="shared" si="4"/>
        <v>15523766.309999999</v>
      </c>
      <c r="C53">
        <v>11293279.09</v>
      </c>
      <c r="D53">
        <v>3605067.2</v>
      </c>
      <c r="E53">
        <v>495166.87</v>
      </c>
      <c r="G53">
        <v>130264.39</v>
      </c>
      <c r="N53"/>
      <c r="O53" s="40">
        <v>-11.24</v>
      </c>
      <c r="P53" s="7"/>
      <c r="Q53" s="7">
        <f t="shared" si="6"/>
        <v>0</v>
      </c>
      <c r="R53" s="7">
        <f t="shared" si="7"/>
        <v>15393501.919999998</v>
      </c>
      <c r="S53" s="7">
        <f t="shared" si="8"/>
        <v>130264.39</v>
      </c>
      <c r="T53" s="7">
        <f t="shared" si="5"/>
        <v>15523766.309999999</v>
      </c>
      <c r="U53" s="38">
        <v>43983</v>
      </c>
      <c r="V53" s="7">
        <f t="shared" si="9"/>
        <v>0</v>
      </c>
    </row>
    <row r="54" spans="1:22">
      <c r="A54" s="44" t="str">
        <f xml:space="preserve"> _xll.EPMOlapMemberO("[TIME].[PARENTH1].[2020.JUL]","","2020.JUL - Jul-20","","000")</f>
        <v>2020.JUL - Jul-20</v>
      </c>
      <c r="B54">
        <f t="shared" si="4"/>
        <v>1835446.06</v>
      </c>
      <c r="C54">
        <v>554191.18000000005</v>
      </c>
      <c r="D54">
        <v>437813.73</v>
      </c>
      <c r="E54">
        <v>390025.3</v>
      </c>
      <c r="G54">
        <v>465611.51</v>
      </c>
      <c r="N54"/>
      <c r="O54" s="40">
        <v>-12195.66</v>
      </c>
      <c r="P54" s="7"/>
      <c r="Q54" s="7">
        <f t="shared" si="6"/>
        <v>0</v>
      </c>
      <c r="R54" s="7">
        <f t="shared" si="7"/>
        <v>1369834.55</v>
      </c>
      <c r="S54" s="7">
        <f t="shared" si="8"/>
        <v>465611.51</v>
      </c>
      <c r="T54" s="7">
        <f t="shared" si="5"/>
        <v>1835446.06</v>
      </c>
      <c r="U54" s="38">
        <v>44013</v>
      </c>
      <c r="V54" s="7">
        <f t="shared" si="9"/>
        <v>0</v>
      </c>
    </row>
    <row r="55" spans="1:22">
      <c r="A55" s="44" t="str">
        <f xml:space="preserve"> _xll.EPMOlapMemberO("[TIME].[PARENTH1].[2020.AUG]","","2020.AUG - Aug-20","","000")</f>
        <v>2020.AUG - Aug-20</v>
      </c>
      <c r="B55">
        <f t="shared" si="4"/>
        <v>4206024.41</v>
      </c>
      <c r="C55">
        <v>1803410.97</v>
      </c>
      <c r="D55">
        <v>1729921.33</v>
      </c>
      <c r="E55">
        <v>494053.29</v>
      </c>
      <c r="G55">
        <v>-2212.5</v>
      </c>
      <c r="N55"/>
      <c r="O55" s="40">
        <v>180851.32</v>
      </c>
      <c r="P55" s="7"/>
      <c r="Q55" s="7">
        <f t="shared" si="6"/>
        <v>0</v>
      </c>
      <c r="R55" s="7">
        <f t="shared" si="7"/>
        <v>4208236.91</v>
      </c>
      <c r="S55" s="7">
        <f t="shared" si="8"/>
        <v>-2212.5</v>
      </c>
      <c r="T55" s="7">
        <f t="shared" si="5"/>
        <v>4206024.41</v>
      </c>
      <c r="U55" s="38">
        <v>44044</v>
      </c>
      <c r="V55" s="7">
        <f t="shared" si="9"/>
        <v>0</v>
      </c>
    </row>
    <row r="56" spans="1:22">
      <c r="A56" s="44" t="str">
        <f xml:space="preserve"> _xll.EPMOlapMemberO("[TIME].[PARENTH1].[2020.SEP]","","2020.SEP - Sep-20","","000")</f>
        <v>2020.SEP - Sep-20</v>
      </c>
      <c r="B56">
        <f t="shared" si="4"/>
        <v>10819851.640000001</v>
      </c>
      <c r="C56">
        <v>5797079.5999999996</v>
      </c>
      <c r="D56">
        <v>3809248</v>
      </c>
      <c r="E56">
        <v>1100181.99</v>
      </c>
      <c r="G56">
        <v>113861.56</v>
      </c>
      <c r="N56"/>
      <c r="O56" s="40">
        <v>-519.51</v>
      </c>
      <c r="P56" s="7"/>
      <c r="Q56" s="7">
        <f t="shared" si="6"/>
        <v>0</v>
      </c>
      <c r="R56" s="7">
        <f t="shared" si="7"/>
        <v>10705990.08</v>
      </c>
      <c r="S56" s="7">
        <f t="shared" si="8"/>
        <v>113861.56</v>
      </c>
      <c r="T56" s="7">
        <f t="shared" ref="T56" si="10">SUM(R56:S56)</f>
        <v>10819851.640000001</v>
      </c>
      <c r="U56" s="38">
        <v>44075</v>
      </c>
      <c r="V56" s="7">
        <f t="shared" si="9"/>
        <v>0</v>
      </c>
    </row>
    <row r="57" spans="1:22">
      <c r="A57" s="44" t="str">
        <f xml:space="preserve"> _xll.EPMOlapMemberO("[TIME].[PARENTH1].[2020.OCT]","","2020.OCT - Oct-20","","000")</f>
        <v>2020.OCT - Oct-20</v>
      </c>
      <c r="B57">
        <f t="shared" si="4"/>
        <v>4128646.44</v>
      </c>
      <c r="C57">
        <v>2908781.63</v>
      </c>
      <c r="D57">
        <v>545714.87</v>
      </c>
      <c r="E57">
        <v>515188.73</v>
      </c>
      <c r="G57">
        <v>159553.82</v>
      </c>
      <c r="N57"/>
      <c r="O57" s="40">
        <v>-592.61</v>
      </c>
      <c r="P57" s="7"/>
      <c r="Q57" s="7">
        <f t="shared" si="6"/>
        <v>0</v>
      </c>
      <c r="R57" s="7">
        <f t="shared" si="7"/>
        <v>3969092.62</v>
      </c>
      <c r="S57" s="7">
        <f t="shared" si="8"/>
        <v>159553.82</v>
      </c>
      <c r="T57" s="7">
        <f t="shared" ref="T57" si="11">SUM(R57:S57)</f>
        <v>4128646.44</v>
      </c>
      <c r="U57" s="38">
        <v>44105</v>
      </c>
      <c r="V57" s="7">
        <f t="shared" si="9"/>
        <v>0</v>
      </c>
    </row>
    <row r="58" spans="1:22">
      <c r="A58" s="44" t="str">
        <f xml:space="preserve"> _xll.EPMOlapMemberO("[TIME].[PARENTH1].[2020.NOV]","","2020.NOV - Nov-20","","000")</f>
        <v>2020.NOV - Nov-20</v>
      </c>
      <c r="B58">
        <f t="shared" si="4"/>
        <v>3481655.62</v>
      </c>
      <c r="C58">
        <v>1052799.57</v>
      </c>
      <c r="D58">
        <v>984685.85</v>
      </c>
      <c r="E58">
        <v>1050531.79</v>
      </c>
      <c r="G58">
        <v>394101.94</v>
      </c>
      <c r="N58"/>
      <c r="O58" s="40">
        <v>-463.53</v>
      </c>
      <c r="P58" s="7"/>
      <c r="Q58" s="7">
        <f t="shared" si="6"/>
        <v>0</v>
      </c>
      <c r="R58" s="7">
        <f t="shared" si="7"/>
        <v>3087553.68</v>
      </c>
      <c r="S58" s="7">
        <f t="shared" si="8"/>
        <v>394101.94</v>
      </c>
      <c r="T58" s="7">
        <f t="shared" ref="T58" si="12">SUM(R58:S58)</f>
        <v>3481655.62</v>
      </c>
      <c r="U58" s="38">
        <v>44136</v>
      </c>
      <c r="V58" s="7">
        <f t="shared" si="9"/>
        <v>0</v>
      </c>
    </row>
    <row r="59" spans="1:22">
      <c r="A59" s="44" t="str">
        <f xml:space="preserve"> _xll.EPMOlapMemberO("[TIME].[PARENTH1].[2020.DEC]","","2020.DEC - Dec-20","","000")</f>
        <v>2020.DEC - Dec-20</v>
      </c>
      <c r="B59">
        <f t="shared" si="4"/>
        <v>13900301.259999998</v>
      </c>
      <c r="C59">
        <v>3166879.62</v>
      </c>
      <c r="D59">
        <v>7698495.5099999998</v>
      </c>
      <c r="E59">
        <v>2643649.29</v>
      </c>
      <c r="G59">
        <v>399449.72</v>
      </c>
      <c r="N59"/>
      <c r="O59" s="40">
        <v>-8172.88</v>
      </c>
      <c r="P59" s="7"/>
      <c r="Q59" s="7">
        <f t="shared" si="6"/>
        <v>0</v>
      </c>
      <c r="R59" s="7">
        <f t="shared" si="7"/>
        <v>13500851.539999997</v>
      </c>
      <c r="S59" s="7">
        <f t="shared" si="8"/>
        <v>399449.72</v>
      </c>
      <c r="T59" s="7">
        <f t="shared" ref="T59" si="13">SUM(R59:S59)</f>
        <v>13900301.259999998</v>
      </c>
      <c r="U59" s="38">
        <v>44166</v>
      </c>
      <c r="V59" s="7">
        <f t="shared" si="9"/>
        <v>0</v>
      </c>
    </row>
    <row r="60" spans="1:22">
      <c r="A60" s="44" t="str">
        <f xml:space="preserve"> _xll.EPMOlapMemberO("[TIME].[PARENTH1].[2021.JAN]","","2021.JAN - Jan-21","","000")</f>
        <v>2021.JAN - Jan-21</v>
      </c>
      <c r="B60">
        <f t="shared" si="4"/>
        <v>3581707.98</v>
      </c>
      <c r="C60">
        <v>1363042.38</v>
      </c>
      <c r="D60">
        <v>1268814.27</v>
      </c>
      <c r="E60">
        <v>831431.22</v>
      </c>
      <c r="G60">
        <v>67466</v>
      </c>
      <c r="N60"/>
      <c r="O60" s="40">
        <v>50954.11</v>
      </c>
      <c r="P60" s="7"/>
      <c r="Q60" s="7">
        <f t="shared" si="6"/>
        <v>0</v>
      </c>
      <c r="R60" s="7">
        <f t="shared" si="7"/>
        <v>3514241.98</v>
      </c>
      <c r="S60" s="7">
        <f t="shared" si="8"/>
        <v>67466</v>
      </c>
      <c r="T60" s="7">
        <f t="shared" ref="T60:T64" si="14">SUM(R60:S60)</f>
        <v>3581707.98</v>
      </c>
      <c r="U60" s="38">
        <v>44197</v>
      </c>
      <c r="V60" s="7">
        <f t="shared" si="9"/>
        <v>0</v>
      </c>
    </row>
    <row r="61" spans="1:22">
      <c r="A61" s="44" t="str">
        <f xml:space="preserve"> _xll.EPMOlapMemberO("[TIME].[PARENTH1].[2021.FEB]","","2021.FEB - Feb-21","","000")</f>
        <v>2021.FEB - Feb-21</v>
      </c>
      <c r="B61">
        <f t="shared" si="4"/>
        <v>4744767.28</v>
      </c>
      <c r="C61">
        <v>2282597.38</v>
      </c>
      <c r="D61">
        <v>1966393.7</v>
      </c>
      <c r="E61">
        <v>434301.74</v>
      </c>
      <c r="N61"/>
      <c r="O61" s="40">
        <v>61474.46</v>
      </c>
      <c r="P61" s="7"/>
      <c r="Q61" s="7">
        <f t="shared" si="6"/>
        <v>0</v>
      </c>
      <c r="R61" s="7">
        <f t="shared" si="7"/>
        <v>4744767.28</v>
      </c>
      <c r="S61" s="7">
        <f t="shared" si="8"/>
        <v>0</v>
      </c>
      <c r="T61" s="7">
        <f t="shared" si="14"/>
        <v>4744767.28</v>
      </c>
      <c r="U61" s="38">
        <v>44228</v>
      </c>
      <c r="V61" s="7">
        <f t="shared" si="9"/>
        <v>0</v>
      </c>
    </row>
    <row r="62" spans="1:22">
      <c r="A62" s="44" t="str">
        <f xml:space="preserve"> _xll.EPMOlapMemberO("[TIME].[PARENTH1].[2021.MAR]","","2021.MAR - Mar-21","","000")</f>
        <v>2021.MAR - Mar-21</v>
      </c>
      <c r="B62">
        <f t="shared" si="4"/>
        <v>8564065.75</v>
      </c>
      <c r="C62">
        <v>3834277.72</v>
      </c>
      <c r="D62">
        <v>3270929.6</v>
      </c>
      <c r="E62">
        <v>1107460.95</v>
      </c>
      <c r="G62">
        <v>355507.95</v>
      </c>
      <c r="N62"/>
      <c r="O62" s="40">
        <v>-4110.47</v>
      </c>
      <c r="P62" s="7"/>
      <c r="Q62" s="7">
        <f t="shared" si="6"/>
        <v>0</v>
      </c>
      <c r="R62" s="7">
        <f t="shared" si="7"/>
        <v>8208557.8000000007</v>
      </c>
      <c r="S62" s="7">
        <f t="shared" si="8"/>
        <v>355507.95</v>
      </c>
      <c r="T62" s="7">
        <f t="shared" si="14"/>
        <v>8564065.75</v>
      </c>
      <c r="U62" s="38">
        <v>44256</v>
      </c>
      <c r="V62" s="7">
        <f t="shared" si="9"/>
        <v>0</v>
      </c>
    </row>
    <row r="63" spans="1:22">
      <c r="A63" s="44" t="str">
        <f xml:space="preserve"> _xll.EPMOlapMemberO("[TIME].[PARENTH1].[2021.APR]","","2021.APR - Apr-21","","000")</f>
        <v>2021.APR - Apr-21</v>
      </c>
      <c r="B63">
        <f t="shared" si="4"/>
        <v>4839650.38</v>
      </c>
      <c r="C63">
        <v>1964413.95</v>
      </c>
      <c r="D63">
        <v>2238375.09</v>
      </c>
      <c r="E63">
        <v>631410.5</v>
      </c>
      <c r="G63">
        <v>5567.22</v>
      </c>
      <c r="N63"/>
      <c r="O63" s="40">
        <v>-116.38</v>
      </c>
      <c r="P63" s="7"/>
      <c r="Q63" s="7">
        <f t="shared" si="6"/>
        <v>0</v>
      </c>
      <c r="R63" s="7">
        <f t="shared" si="7"/>
        <v>4834083.16</v>
      </c>
      <c r="S63" s="7">
        <f t="shared" si="8"/>
        <v>5567.22</v>
      </c>
      <c r="T63" s="7">
        <f t="shared" si="14"/>
        <v>4839650.38</v>
      </c>
      <c r="U63" s="38">
        <v>44287</v>
      </c>
      <c r="V63" s="7">
        <f t="shared" si="9"/>
        <v>0</v>
      </c>
    </row>
    <row r="64" spans="1:22">
      <c r="A64" s="44" t="str">
        <f xml:space="preserve"> _xll.EPMOlapMemberO("[TIME].[PARENTH1].[2021.MAY]","","2021.MAY - May-21","","000")</f>
        <v>2021.MAY - May-21</v>
      </c>
      <c r="B64">
        <f t="shared" si="4"/>
        <v>6481082.1499999994</v>
      </c>
      <c r="C64">
        <v>1947607.56</v>
      </c>
      <c r="D64">
        <v>1994658.05</v>
      </c>
      <c r="E64">
        <v>2407977.06</v>
      </c>
      <c r="G64">
        <v>132446.64000000001</v>
      </c>
      <c r="N64"/>
      <c r="O64" s="40">
        <v>-1607.16</v>
      </c>
      <c r="P64" s="7"/>
      <c r="Q64" s="7">
        <f t="shared" si="6"/>
        <v>0</v>
      </c>
      <c r="R64" s="7">
        <f t="shared" si="7"/>
        <v>6348635.5099999998</v>
      </c>
      <c r="S64" s="7">
        <f t="shared" si="8"/>
        <v>132446.64000000001</v>
      </c>
      <c r="T64" s="7">
        <f t="shared" si="14"/>
        <v>6481082.1499999994</v>
      </c>
      <c r="U64" s="38">
        <v>44317</v>
      </c>
      <c r="V64" s="7">
        <f t="shared" si="9"/>
        <v>0</v>
      </c>
    </row>
    <row r="65" spans="1:22">
      <c r="A65" s="44" t="str">
        <f xml:space="preserve"> _xll.EPMOlapMemberO("[TIME].[PARENTH1].[2021.JUN]","","2021.JUN - Jun-21","","000")</f>
        <v>2021.JUN - Jun-21</v>
      </c>
      <c r="B65">
        <f t="shared" si="4"/>
        <v>14141965.4</v>
      </c>
      <c r="C65">
        <v>4586258.59</v>
      </c>
      <c r="D65">
        <v>5549693.6600000001</v>
      </c>
      <c r="E65">
        <v>3262753.5</v>
      </c>
      <c r="G65">
        <v>653783.43000000005</v>
      </c>
      <c r="N65"/>
      <c r="O65" s="40">
        <v>89476.22</v>
      </c>
      <c r="P65" s="7"/>
      <c r="Q65" s="7">
        <f t="shared" si="6"/>
        <v>0</v>
      </c>
      <c r="R65" s="7">
        <f t="shared" si="7"/>
        <v>13488181.970000001</v>
      </c>
      <c r="S65" s="7">
        <f t="shared" si="8"/>
        <v>653783.43000000005</v>
      </c>
      <c r="T65" s="7">
        <f t="shared" ref="T65" si="15">SUM(R65:S65)</f>
        <v>14141965.4</v>
      </c>
      <c r="U65" s="38">
        <v>44348</v>
      </c>
      <c r="V65" s="7">
        <f t="shared" si="9"/>
        <v>0</v>
      </c>
    </row>
    <row r="66" spans="1:22">
      <c r="A66" s="44" t="str">
        <f xml:space="preserve"> _xll.EPMOlapMemberO("[TIME].[PARENTH1].[2021.JUL]","","2021.JUL - Jul-21","","000")</f>
        <v>2021.JUL - Jul-21</v>
      </c>
      <c r="B66">
        <f t="shared" si="4"/>
        <v>6509705</v>
      </c>
      <c r="C66">
        <v>2226303.11</v>
      </c>
      <c r="D66">
        <v>2839706.75</v>
      </c>
      <c r="E66">
        <v>1081571.3600000001</v>
      </c>
      <c r="G66">
        <v>369292.15</v>
      </c>
      <c r="N66"/>
      <c r="O66" s="40">
        <v>-7168.37</v>
      </c>
      <c r="P66" s="7"/>
      <c r="Q66" s="7">
        <f t="shared" si="6"/>
        <v>0</v>
      </c>
      <c r="R66" s="7">
        <f t="shared" si="7"/>
        <v>6140412.8499999996</v>
      </c>
      <c r="S66" s="7">
        <f t="shared" si="8"/>
        <v>369292.15</v>
      </c>
      <c r="T66" s="7">
        <f t="shared" ref="T66" si="16">SUM(R66:S66)</f>
        <v>6509705</v>
      </c>
      <c r="U66" s="38">
        <v>44378</v>
      </c>
      <c r="V66" s="7">
        <f t="shared" si="9"/>
        <v>0</v>
      </c>
    </row>
    <row r="67" spans="1:22">
      <c r="A67" s="44" t="str">
        <f xml:space="preserve"> _xll.EPMOlapMemberO("[TIME].[PARENTH1].[2021.AUG]","","2021.AUG - Aug-21","","000")</f>
        <v>2021.AUG - Aug-21</v>
      </c>
      <c r="B67">
        <f t="shared" si="4"/>
        <v>6292390.75</v>
      </c>
      <c r="C67">
        <v>2308337</v>
      </c>
      <c r="D67">
        <v>2327268.0699999998</v>
      </c>
      <c r="E67">
        <v>535922.18000000005</v>
      </c>
      <c r="G67">
        <v>1203553.92</v>
      </c>
      <c r="N67"/>
      <c r="O67" s="40">
        <v>-82690.42</v>
      </c>
      <c r="P67" s="7"/>
      <c r="Q67" s="7">
        <f t="shared" si="6"/>
        <v>0</v>
      </c>
      <c r="R67" s="7">
        <f t="shared" si="7"/>
        <v>5088836.83</v>
      </c>
      <c r="S67" s="7">
        <f t="shared" si="8"/>
        <v>1203553.92</v>
      </c>
      <c r="T67" s="7">
        <f t="shared" ref="T67" si="17">SUM(R67:S67)</f>
        <v>6292390.75</v>
      </c>
      <c r="U67" s="38">
        <v>44409</v>
      </c>
      <c r="V67" s="7">
        <f t="shared" si="9"/>
        <v>0</v>
      </c>
    </row>
    <row r="68" spans="1:22">
      <c r="A68" s="44" t="str">
        <f xml:space="preserve"> _xll.EPMOlapMemberO("[TIME].[PARENTH1].[2021.SEP]","","2021.SEP - Sep-21","","000")</f>
        <v>2021.SEP - Sep-21</v>
      </c>
      <c r="B68">
        <f t="shared" si="4"/>
        <v>10969163.68</v>
      </c>
      <c r="C68">
        <v>3734549.97</v>
      </c>
      <c r="D68">
        <v>4032163.22</v>
      </c>
      <c r="E68">
        <v>1529888.48</v>
      </c>
      <c r="G68">
        <v>1678640.43</v>
      </c>
      <c r="N68"/>
      <c r="O68" s="40">
        <v>-6078.42</v>
      </c>
      <c r="P68" s="7"/>
      <c r="Q68" s="7">
        <f t="shared" si="6"/>
        <v>0</v>
      </c>
      <c r="R68" s="7">
        <f t="shared" si="7"/>
        <v>9290523.25</v>
      </c>
      <c r="S68" s="7">
        <f t="shared" si="8"/>
        <v>1678640.43</v>
      </c>
      <c r="T68" s="7">
        <f t="shared" ref="T68" si="18">SUM(R68:S68)</f>
        <v>10969163.68</v>
      </c>
      <c r="U68" s="38">
        <v>44440</v>
      </c>
      <c r="V68" s="7">
        <f t="shared" si="9"/>
        <v>0</v>
      </c>
    </row>
    <row r="69" spans="1:22">
      <c r="A69" s="44" t="str">
        <f xml:space="preserve"> _xll.EPMOlapMemberO("[TIME].[PARENTH1].[2021.OCT]","","2021.OCT - Oct-21","","000")</f>
        <v>2021.OCT - Oct-21</v>
      </c>
      <c r="B69">
        <f t="shared" si="4"/>
        <v>4571212.1100000003</v>
      </c>
      <c r="C69">
        <v>1983573.32</v>
      </c>
      <c r="D69">
        <v>1941130.94</v>
      </c>
      <c r="E69">
        <v>686479.62</v>
      </c>
      <c r="G69">
        <v>-35442.959999999999</v>
      </c>
      <c r="O69">
        <v>-4528.8100000000004</v>
      </c>
      <c r="P69" s="7"/>
      <c r="Q69" s="7">
        <f t="shared" si="6"/>
        <v>0</v>
      </c>
      <c r="R69" s="7">
        <f t="shared" si="7"/>
        <v>4606655.07</v>
      </c>
      <c r="S69" s="7">
        <f t="shared" si="8"/>
        <v>-35442.959999999999</v>
      </c>
      <c r="T69" s="7">
        <f t="shared" ref="T69" si="19">SUM(R69:S69)</f>
        <v>4571212.1100000003</v>
      </c>
      <c r="U69" s="38">
        <v>44470</v>
      </c>
      <c r="V69" s="7">
        <f t="shared" si="9"/>
        <v>0</v>
      </c>
    </row>
    <row r="70" spans="1:22">
      <c r="A70" s="44" t="str">
        <f xml:space="preserve"> _xll.EPMOlapMemberO("[TIME].[PARENTH1].[2021.NOV]","","2021.NOV - Nov-21","","000")</f>
        <v>2021.NOV - Nov-21</v>
      </c>
      <c r="B70">
        <f t="shared" si="4"/>
        <v>7441537.209999999</v>
      </c>
      <c r="C70">
        <v>3350680.78</v>
      </c>
      <c r="D70">
        <v>2074962.91</v>
      </c>
      <c r="E70">
        <v>361989.82</v>
      </c>
      <c r="G70">
        <v>1664899.69</v>
      </c>
      <c r="K70">
        <v>2426.13</v>
      </c>
      <c r="O70">
        <v>-13422.12</v>
      </c>
      <c r="P70" s="7"/>
      <c r="Q70" s="7">
        <f t="shared" si="6"/>
        <v>0</v>
      </c>
      <c r="R70" s="7">
        <f t="shared" si="7"/>
        <v>5774211.3899999997</v>
      </c>
      <c r="S70" s="7">
        <f t="shared" si="8"/>
        <v>1664899.69</v>
      </c>
      <c r="T70" s="7">
        <f t="shared" ref="T70:T74" si="20">SUM(R70:S70)</f>
        <v>7439111.0800000001</v>
      </c>
      <c r="U70" s="38">
        <v>44501</v>
      </c>
      <c r="V70" s="7">
        <f t="shared" si="9"/>
        <v>-2426.1299999989569</v>
      </c>
    </row>
    <row r="71" spans="1:22">
      <c r="A71" s="44" t="str">
        <f xml:space="preserve"> _xll.EPMOlapMemberO("[TIME].[PARENTH1].[2021.DEC]","","2021.DEC - Dec-21","","000")</f>
        <v>2021.DEC - Dec-21</v>
      </c>
      <c r="B71">
        <f t="shared" si="4"/>
        <v>23584056.999999996</v>
      </c>
      <c r="C71">
        <v>4945006.4400000004</v>
      </c>
      <c r="D71">
        <v>9448676.5099999998</v>
      </c>
      <c r="E71">
        <v>2480999.4500000002</v>
      </c>
      <c r="G71">
        <v>6544100.9500000002</v>
      </c>
      <c r="O71">
        <v>165273.65</v>
      </c>
      <c r="P71" s="7"/>
      <c r="Q71" s="7">
        <f t="shared" si="6"/>
        <v>0</v>
      </c>
      <c r="R71" s="7">
        <f t="shared" si="7"/>
        <v>17039956.049999997</v>
      </c>
      <c r="S71" s="7">
        <f t="shared" si="8"/>
        <v>6544100.9500000002</v>
      </c>
      <c r="T71" s="7">
        <f t="shared" si="20"/>
        <v>23584056.999999996</v>
      </c>
      <c r="U71" s="38">
        <v>44531</v>
      </c>
      <c r="V71" s="7">
        <f t="shared" si="9"/>
        <v>0</v>
      </c>
    </row>
    <row r="72" spans="1:22">
      <c r="A72" s="44" t="str">
        <f xml:space="preserve"> _xll.EPMOlapMemberO("[TIME].[PARENTH1].[2022.JAN]","","2022.JAN - Jan-22","","000")</f>
        <v>2022.JAN - Jan-22</v>
      </c>
      <c r="B72">
        <f t="shared" si="4"/>
        <v>9272698.3200000003</v>
      </c>
      <c r="C72">
        <v>4413584.88</v>
      </c>
      <c r="D72">
        <v>2509679.7200000002</v>
      </c>
      <c r="E72">
        <v>1664930.48</v>
      </c>
      <c r="G72">
        <v>684651.82</v>
      </c>
      <c r="O72">
        <v>-148.58000000000001</v>
      </c>
      <c r="P72" s="7"/>
      <c r="Q72" s="7">
        <f t="shared" si="6"/>
        <v>0</v>
      </c>
      <c r="R72" s="7">
        <f t="shared" si="7"/>
        <v>8588046.5</v>
      </c>
      <c r="S72" s="7">
        <f t="shared" si="8"/>
        <v>684651.82</v>
      </c>
      <c r="T72" s="7">
        <f t="shared" si="20"/>
        <v>9272698.3200000003</v>
      </c>
      <c r="U72" s="38">
        <v>44197</v>
      </c>
      <c r="V72" s="7">
        <f t="shared" si="9"/>
        <v>0</v>
      </c>
    </row>
    <row r="73" spans="1:22">
      <c r="A73" s="44" t="str">
        <f xml:space="preserve"> _xll.EPMOlapMemberO("[TIME].[PARENTH1].[2022.FEB]","","2022.FEB - Feb-22","","000")</f>
        <v>2022.FEB - Feb-22</v>
      </c>
      <c r="B73">
        <f t="shared" si="4"/>
        <v>7135593.6999999993</v>
      </c>
      <c r="C73">
        <v>2854775.39</v>
      </c>
      <c r="D73">
        <v>2131166.88</v>
      </c>
      <c r="E73">
        <v>1070630.79</v>
      </c>
      <c r="G73">
        <v>1079041.83</v>
      </c>
      <c r="O73">
        <v>-21.19</v>
      </c>
      <c r="P73" s="7"/>
      <c r="Q73" s="7">
        <f t="shared" si="6"/>
        <v>0</v>
      </c>
      <c r="R73" s="7">
        <f t="shared" si="7"/>
        <v>6056551.8699999992</v>
      </c>
      <c r="S73" s="7">
        <f t="shared" si="8"/>
        <v>1079041.83</v>
      </c>
      <c r="T73" s="7">
        <f t="shared" si="20"/>
        <v>7135593.6999999993</v>
      </c>
      <c r="U73" s="38">
        <v>44228</v>
      </c>
      <c r="V73" s="7">
        <f t="shared" si="9"/>
        <v>0</v>
      </c>
    </row>
    <row r="74" spans="1:22">
      <c r="A74" s="44" t="str">
        <f xml:space="preserve"> _xll.EPMOlapMemberO("[TIME].[PARENTH1].[2022.MAR]","","2022.MAR - Mar-22","","000")</f>
        <v>2022.MAR - Mar-22</v>
      </c>
      <c r="B74">
        <f t="shared" si="4"/>
        <v>19356719.899999999</v>
      </c>
      <c r="C74">
        <v>6599729.0099999998</v>
      </c>
      <c r="D74">
        <v>4685729.28</v>
      </c>
      <c r="E74">
        <v>2090376.96</v>
      </c>
      <c r="G74">
        <v>5983061.7000000002</v>
      </c>
      <c r="O74">
        <v>-2177.0500000000002</v>
      </c>
      <c r="P74" s="7"/>
      <c r="Q74" s="7">
        <f t="shared" si="6"/>
        <v>0</v>
      </c>
      <c r="R74" s="7">
        <f t="shared" si="7"/>
        <v>13373658.199999999</v>
      </c>
      <c r="S74" s="7">
        <f t="shared" si="8"/>
        <v>5983061.7000000002</v>
      </c>
      <c r="T74" s="7">
        <f t="shared" si="20"/>
        <v>19356719.899999999</v>
      </c>
      <c r="U74" s="38">
        <v>44256</v>
      </c>
      <c r="V74" s="7">
        <f t="shared" si="9"/>
        <v>0</v>
      </c>
    </row>
    <row r="75" spans="1:22">
      <c r="A75" s="44" t="str">
        <f xml:space="preserve"> _xll.EPMOlapMemberO("[TIME].[PARENTH1].[2022.APR]","","2022.APR - Apr-22","","000")</f>
        <v>2022.APR - Apr-22</v>
      </c>
      <c r="B75">
        <f t="shared" si="4"/>
        <v>5701582.2299999995</v>
      </c>
      <c r="C75">
        <v>2687366.65</v>
      </c>
      <c r="D75">
        <v>2478505.27</v>
      </c>
      <c r="E75">
        <v>358713.51</v>
      </c>
      <c r="G75">
        <v>167879.6</v>
      </c>
      <c r="O75">
        <v>9117.2000000000007</v>
      </c>
      <c r="P75" s="7"/>
      <c r="Q75" s="7">
        <f t="shared" si="6"/>
        <v>0</v>
      </c>
      <c r="R75" s="7">
        <f t="shared" si="7"/>
        <v>5533702.6299999999</v>
      </c>
      <c r="S75" s="7">
        <f t="shared" si="8"/>
        <v>167879.6</v>
      </c>
      <c r="T75" s="7">
        <f t="shared" ref="T75" si="21">SUM(R75:S75)</f>
        <v>5701582.2299999995</v>
      </c>
      <c r="U75" s="38">
        <v>44287</v>
      </c>
      <c r="V75" s="7">
        <f t="shared" si="9"/>
        <v>0</v>
      </c>
    </row>
    <row r="76" spans="1:22">
      <c r="A76" s="44" t="str">
        <f xml:space="preserve"> _xll.EPMOlapMemberO("[TIME].[PARENTH1].[2022.MAY]","","2022.MAY - May-22","","000")</f>
        <v>2022.MAY - May-22</v>
      </c>
      <c r="B76">
        <f t="shared" si="4"/>
        <v>7177667.2000000002</v>
      </c>
      <c r="C76">
        <v>3524334.17</v>
      </c>
      <c r="D76">
        <v>1476103.75</v>
      </c>
      <c r="E76">
        <v>825115.13</v>
      </c>
      <c r="G76">
        <v>1352526.08</v>
      </c>
      <c r="O76">
        <v>-411.93</v>
      </c>
      <c r="P76" s="7"/>
      <c r="Q76" s="7">
        <f t="shared" ref="Q76:Q107" si="22">B76-SUM(C76:O76)</f>
        <v>0</v>
      </c>
      <c r="R76" s="7">
        <f t="shared" ref="R76:R107" si="23">C76+D76+E76+O76</f>
        <v>5825141.1200000001</v>
      </c>
      <c r="S76" s="7">
        <f t="shared" ref="S76:S107" si="24">G76</f>
        <v>1352526.08</v>
      </c>
      <c r="T76" s="7">
        <f t="shared" ref="T76" si="25">SUM(R76:S76)</f>
        <v>7177667.2000000002</v>
      </c>
      <c r="U76" s="38">
        <v>44317</v>
      </c>
      <c r="V76" s="7">
        <f t="shared" ref="V76:V107" si="26">T76-B76</f>
        <v>0</v>
      </c>
    </row>
    <row r="77" spans="1:22">
      <c r="A77" s="44" t="str">
        <f xml:space="preserve"> _xll.EPMOlapMemberO("[TIME].[PARENTH1].[2022.JUN]","","2022.JUN - Jun-22","","000")</f>
        <v>2022.JUN - Jun-22</v>
      </c>
      <c r="B77">
        <f t="shared" ref="B77:B119" si="27">SUM(C77:P77)</f>
        <v>24045269.490000002</v>
      </c>
      <c r="C77">
        <v>12097347.869999999</v>
      </c>
      <c r="D77">
        <v>8726357.5899999999</v>
      </c>
      <c r="E77">
        <v>2359922.19</v>
      </c>
      <c r="G77">
        <v>862670.19</v>
      </c>
      <c r="O77">
        <v>-1028.3499999999999</v>
      </c>
      <c r="P77" s="7"/>
      <c r="Q77" s="7">
        <f t="shared" si="22"/>
        <v>0</v>
      </c>
      <c r="R77" s="7">
        <f t="shared" si="23"/>
        <v>23182599.300000001</v>
      </c>
      <c r="S77" s="7">
        <f t="shared" si="24"/>
        <v>862670.19</v>
      </c>
      <c r="T77" s="7">
        <f t="shared" ref="T77" si="28">SUM(R77:S77)</f>
        <v>24045269.490000002</v>
      </c>
      <c r="U77" s="38">
        <v>44348</v>
      </c>
      <c r="V77" s="7">
        <f t="shared" si="26"/>
        <v>0</v>
      </c>
    </row>
    <row r="78" spans="1:22">
      <c r="A78" s="44" t="str">
        <f xml:space="preserve"> _xll.EPMOlapMemberO("[TIME].[PARENTH1].[2022.JUL]","","2022.JUL - Jul-22","","000")</f>
        <v>2022.JUL - Jul-22</v>
      </c>
      <c r="B78">
        <f t="shared" si="27"/>
        <v>5466867.2499999991</v>
      </c>
      <c r="C78">
        <v>2394182.59</v>
      </c>
      <c r="D78">
        <v>2120500.7799999998</v>
      </c>
      <c r="E78">
        <v>629731.75</v>
      </c>
      <c r="G78">
        <v>323088.78000000003</v>
      </c>
      <c r="O78">
        <v>-636.65</v>
      </c>
      <c r="P78" s="7"/>
      <c r="Q78" s="7">
        <f t="shared" si="22"/>
        <v>0</v>
      </c>
      <c r="R78" s="7">
        <f t="shared" si="23"/>
        <v>5143778.4699999988</v>
      </c>
      <c r="S78" s="7">
        <f t="shared" si="24"/>
        <v>323088.78000000003</v>
      </c>
      <c r="T78" s="7">
        <f t="shared" ref="T78" si="29">SUM(R78:S78)</f>
        <v>5466867.2499999991</v>
      </c>
      <c r="U78" s="38">
        <v>44378</v>
      </c>
      <c r="V78" s="7">
        <f t="shared" si="26"/>
        <v>0</v>
      </c>
    </row>
    <row r="79" spans="1:22">
      <c r="A79" s="44" t="str">
        <f xml:space="preserve"> _xll.EPMOlapMemberO("[TIME].[PARENTH1].[2022.AUG]","","2022.AUG - Aug-22","","000")</f>
        <v>2022.AUG - Aug-22</v>
      </c>
      <c r="B79">
        <f t="shared" si="27"/>
        <v>11968217.98</v>
      </c>
      <c r="C79">
        <v>2729362.18</v>
      </c>
      <c r="D79">
        <v>4452501.63</v>
      </c>
      <c r="E79">
        <v>1155329.21</v>
      </c>
      <c r="G79">
        <v>3634678.75</v>
      </c>
      <c r="O79">
        <v>-3653.79</v>
      </c>
      <c r="P79" s="7"/>
      <c r="Q79" s="7">
        <f t="shared" si="22"/>
        <v>0</v>
      </c>
      <c r="R79" s="7">
        <f t="shared" si="23"/>
        <v>8333539.2300000004</v>
      </c>
      <c r="S79" s="7">
        <f t="shared" si="24"/>
        <v>3634678.75</v>
      </c>
      <c r="T79" s="7">
        <f t="shared" ref="T79" si="30">SUM(R79:S79)</f>
        <v>11968217.98</v>
      </c>
      <c r="U79" s="38">
        <v>44409</v>
      </c>
      <c r="V79" s="7">
        <f t="shared" si="26"/>
        <v>0</v>
      </c>
    </row>
    <row r="80" spans="1:22">
      <c r="A80" s="44" t="str">
        <f xml:space="preserve"> _xll.EPMOlapMemberO("[TIME].[PARENTH1].[2022.SEP]","","2022.SEP - Sep-22","","000")</f>
        <v>2022.SEP - Sep-22</v>
      </c>
      <c r="B80">
        <f t="shared" si="27"/>
        <v>26621516.799999997</v>
      </c>
      <c r="C80">
        <v>8007933.9000000004</v>
      </c>
      <c r="D80">
        <v>11980745.189999999</v>
      </c>
      <c r="E80">
        <v>2662615.7400000002</v>
      </c>
      <c r="G80">
        <v>3972551.89</v>
      </c>
      <c r="O80">
        <v>-2329.92</v>
      </c>
      <c r="P80" s="7"/>
      <c r="Q80" s="7">
        <f t="shared" si="22"/>
        <v>0</v>
      </c>
      <c r="R80" s="7">
        <f t="shared" si="23"/>
        <v>22648964.909999996</v>
      </c>
      <c r="S80" s="7">
        <f t="shared" si="24"/>
        <v>3972551.89</v>
      </c>
      <c r="T80" s="7">
        <f t="shared" ref="T80" si="31">SUM(R80:S80)</f>
        <v>26621516.799999997</v>
      </c>
      <c r="U80" s="38">
        <v>44440</v>
      </c>
      <c r="V80" s="7">
        <f t="shared" si="26"/>
        <v>0</v>
      </c>
    </row>
    <row r="81" spans="1:22">
      <c r="A81" s="44" t="str">
        <f xml:space="preserve"> _xll.EPMOlapMemberO("[TIME].[PARENTH1].[2022.OCT]","","2022.OCT - Oct-22","","000")</f>
        <v>2022.OCT - Oct-22</v>
      </c>
      <c r="B81">
        <f t="shared" si="27"/>
        <v>7403109.2000000002</v>
      </c>
      <c r="C81">
        <v>1913472.35</v>
      </c>
      <c r="D81">
        <v>2055107.26</v>
      </c>
      <c r="E81">
        <v>833879.4</v>
      </c>
      <c r="G81">
        <v>2623783.0099999998</v>
      </c>
      <c r="O81">
        <v>-23132.82</v>
      </c>
      <c r="P81" s="7"/>
      <c r="Q81" s="7">
        <f t="shared" si="22"/>
        <v>0</v>
      </c>
      <c r="R81" s="7">
        <f t="shared" si="23"/>
        <v>4779326.1900000004</v>
      </c>
      <c r="S81" s="7">
        <f t="shared" si="24"/>
        <v>2623783.0099999998</v>
      </c>
      <c r="T81" s="7">
        <f t="shared" ref="T81" si="32">SUM(R81:S81)</f>
        <v>7403109.2000000002</v>
      </c>
      <c r="U81" s="38">
        <v>44470</v>
      </c>
      <c r="V81" s="7">
        <f t="shared" si="26"/>
        <v>0</v>
      </c>
    </row>
    <row r="82" spans="1:22">
      <c r="A82" s="44" t="str">
        <f xml:space="preserve"> _xll.EPMOlapMemberO("[TIME].[PARENTH1].[2022.NOV]","","2022.NOV - Nov-22","","000")</f>
        <v>2022.NOV - Nov-22</v>
      </c>
      <c r="B82">
        <f t="shared" si="27"/>
        <v>16990201.440000001</v>
      </c>
      <c r="C82">
        <v>2577222.2000000002</v>
      </c>
      <c r="D82">
        <v>5905215.4400000004</v>
      </c>
      <c r="E82">
        <v>756004.87</v>
      </c>
      <c r="G82">
        <v>7755749.8799999999</v>
      </c>
      <c r="I82">
        <v>1</v>
      </c>
      <c r="O82">
        <v>-3991.95</v>
      </c>
      <c r="P82" s="7"/>
      <c r="Q82" s="7">
        <f t="shared" si="22"/>
        <v>0</v>
      </c>
      <c r="R82" s="7">
        <f t="shared" si="23"/>
        <v>9234450.5600000005</v>
      </c>
      <c r="S82" s="7">
        <f t="shared" si="24"/>
        <v>7755749.8799999999</v>
      </c>
      <c r="T82" s="7">
        <f t="shared" ref="T82:T83" si="33">SUM(R82:S82)</f>
        <v>16990200.440000001</v>
      </c>
      <c r="U82" s="38">
        <v>44866</v>
      </c>
      <c r="V82" s="43">
        <f t="shared" si="26"/>
        <v>-1</v>
      </c>
    </row>
    <row r="83" spans="1:22">
      <c r="A83" s="44" t="str">
        <f xml:space="preserve"> _xll.EPMOlapMemberO("[TIME].[PARENTH1].[2022.DEC]","","2022.DEC - Dec-22","","000")</f>
        <v>2022.DEC - Dec-22</v>
      </c>
      <c r="B83">
        <f t="shared" si="27"/>
        <v>27786850.59</v>
      </c>
      <c r="C83">
        <v>6275019.29</v>
      </c>
      <c r="D83">
        <v>11571416.24</v>
      </c>
      <c r="E83">
        <v>3983067.88</v>
      </c>
      <c r="G83">
        <v>6004648.2800000003</v>
      </c>
      <c r="O83">
        <v>-47301.1</v>
      </c>
      <c r="P83" s="7"/>
      <c r="Q83" s="7">
        <f t="shared" si="22"/>
        <v>0</v>
      </c>
      <c r="R83" s="7">
        <f t="shared" si="23"/>
        <v>21782202.309999999</v>
      </c>
      <c r="S83" s="7">
        <f t="shared" si="24"/>
        <v>6004648.2800000003</v>
      </c>
      <c r="T83" s="7">
        <f t="shared" si="33"/>
        <v>27786850.59</v>
      </c>
      <c r="U83" s="38">
        <v>44896</v>
      </c>
      <c r="V83" s="43">
        <f t="shared" si="26"/>
        <v>0</v>
      </c>
    </row>
    <row r="84" spans="1:22">
      <c r="A84" s="44" t="str">
        <f xml:space="preserve"> _xll.EPMOlapMemberO("[TIME].[PARENTH1].[2023.JAN]","","2023.JAN - Jan-23","","000")</f>
        <v>2023.JAN - Jan-23</v>
      </c>
      <c r="B84">
        <f t="shared" si="27"/>
        <v>8342472.4200000009</v>
      </c>
      <c r="C84">
        <v>3282842.42</v>
      </c>
      <c r="D84">
        <v>1951293.49</v>
      </c>
      <c r="E84">
        <v>411797.23</v>
      </c>
      <c r="G84">
        <v>2700156.17</v>
      </c>
      <c r="O84">
        <v>-3616.89</v>
      </c>
      <c r="P84" s="7"/>
      <c r="Q84" s="7">
        <f t="shared" si="22"/>
        <v>0</v>
      </c>
      <c r="R84" s="7">
        <f t="shared" si="23"/>
        <v>5642316.2500000009</v>
      </c>
      <c r="S84" s="7">
        <f t="shared" si="24"/>
        <v>2700156.17</v>
      </c>
      <c r="T84" s="7">
        <f t="shared" ref="T84:T86" si="34">SUM(R84:S84)</f>
        <v>8342472.4200000009</v>
      </c>
      <c r="U84" s="38">
        <v>44927</v>
      </c>
      <c r="V84" s="43">
        <f t="shared" si="26"/>
        <v>0</v>
      </c>
    </row>
    <row r="85" spans="1:22">
      <c r="A85" s="44" t="str">
        <f xml:space="preserve"> _xll.EPMOlapMemberO("[TIME].[PARENTH1].[2023.FEB]","","2023.FEB - Feb-23","","000")</f>
        <v>2023.FEB - Feb-23</v>
      </c>
      <c r="B85">
        <f t="shared" si="27"/>
        <v>11190777.839999998</v>
      </c>
      <c r="C85">
        <v>3259945.56</v>
      </c>
      <c r="D85">
        <v>4454842.13</v>
      </c>
      <c r="E85">
        <v>888292.87</v>
      </c>
      <c r="G85">
        <v>2587957.67</v>
      </c>
      <c r="O85">
        <v>-260.39</v>
      </c>
      <c r="P85" s="7"/>
      <c r="Q85" s="7">
        <f t="shared" si="22"/>
        <v>0</v>
      </c>
      <c r="R85" s="7">
        <f t="shared" si="23"/>
        <v>8602820.1699999981</v>
      </c>
      <c r="S85" s="7">
        <f t="shared" si="24"/>
        <v>2587957.67</v>
      </c>
      <c r="T85" s="7">
        <f t="shared" si="34"/>
        <v>11190777.839999998</v>
      </c>
      <c r="U85" s="38">
        <v>44958</v>
      </c>
      <c r="V85" s="43">
        <f t="shared" si="26"/>
        <v>0</v>
      </c>
    </row>
    <row r="86" spans="1:22">
      <c r="A86" s="44" t="str">
        <f xml:space="preserve"> _xll.EPMOlapMemberO("[TIME].[PARENTH1].[2023.MAR]","","2023.MAR - Mar-23","","000")</f>
        <v>2023.MAR - Mar-23</v>
      </c>
      <c r="B86">
        <f t="shared" si="27"/>
        <v>25799198.920000002</v>
      </c>
      <c r="C86">
        <v>8316173.1699999999</v>
      </c>
      <c r="D86">
        <v>9411623.8100000005</v>
      </c>
      <c r="E86">
        <v>2889974.53</v>
      </c>
      <c r="G86">
        <v>5187489.84</v>
      </c>
      <c r="O86">
        <v>-6062.43</v>
      </c>
      <c r="P86" s="7"/>
      <c r="Q86" s="7">
        <f t="shared" si="22"/>
        <v>0</v>
      </c>
      <c r="R86" s="7">
        <f t="shared" si="23"/>
        <v>20611709.080000002</v>
      </c>
      <c r="S86" s="7">
        <f t="shared" si="24"/>
        <v>5187489.84</v>
      </c>
      <c r="T86" s="7">
        <f t="shared" si="34"/>
        <v>25799198.920000002</v>
      </c>
      <c r="U86" s="38">
        <v>44986</v>
      </c>
      <c r="V86" s="43">
        <f t="shared" si="26"/>
        <v>0</v>
      </c>
    </row>
    <row r="87" spans="1:22">
      <c r="A87" s="44" t="str">
        <f xml:space="preserve"> _xll.EPMOlapMemberO("[TIME].[PARENTH1].[2023.APR]","","2023.APR - Apr-23","","000")</f>
        <v>2023.APR - Apr-23</v>
      </c>
      <c r="B87">
        <f t="shared" si="27"/>
        <v>9180631.9299999997</v>
      </c>
      <c r="C87">
        <v>3240060.83</v>
      </c>
      <c r="D87">
        <v>3711299.58</v>
      </c>
      <c r="E87">
        <v>1755405.45</v>
      </c>
      <c r="G87">
        <v>479420.22</v>
      </c>
      <c r="O87">
        <v>-5554.15</v>
      </c>
      <c r="P87" s="7"/>
      <c r="Q87" s="7">
        <f t="shared" si="22"/>
        <v>0</v>
      </c>
      <c r="R87" s="7">
        <f t="shared" si="23"/>
        <v>8701211.709999999</v>
      </c>
      <c r="S87" s="7">
        <f t="shared" si="24"/>
        <v>479420.22</v>
      </c>
      <c r="T87" s="7">
        <f t="shared" ref="T87" si="35">SUM(R87:S87)</f>
        <v>9180631.9299999997</v>
      </c>
      <c r="U87" s="38">
        <v>45017</v>
      </c>
      <c r="V87" s="43">
        <f t="shared" si="26"/>
        <v>0</v>
      </c>
    </row>
    <row r="88" spans="1:22">
      <c r="A88" s="44" t="str">
        <f xml:space="preserve"> _xll.EPMOlapMemberO("[TIME].[PARENTH1].[2023.MAY]","","2023.MAY - May-23","","000")</f>
        <v>2023.MAY - May-23</v>
      </c>
      <c r="B88">
        <f t="shared" si="27"/>
        <v>15745893.890000001</v>
      </c>
      <c r="C88">
        <v>5540041.3499999996</v>
      </c>
      <c r="D88">
        <v>8136998.8600000003</v>
      </c>
      <c r="E88">
        <v>1453197.68</v>
      </c>
      <c r="G88">
        <v>619197.54</v>
      </c>
      <c r="O88">
        <v>-3541.54</v>
      </c>
      <c r="P88" s="7"/>
      <c r="Q88" s="7">
        <f t="shared" si="22"/>
        <v>0</v>
      </c>
      <c r="R88" s="7">
        <f t="shared" si="23"/>
        <v>15126696.350000001</v>
      </c>
      <c r="S88" s="7">
        <f t="shared" si="24"/>
        <v>619197.54</v>
      </c>
      <c r="T88" s="7">
        <f t="shared" ref="T88" si="36">SUM(R88:S88)</f>
        <v>15745893.890000001</v>
      </c>
      <c r="U88" s="38">
        <v>45047</v>
      </c>
      <c r="V88" s="43">
        <f t="shared" si="26"/>
        <v>0</v>
      </c>
    </row>
    <row r="89" spans="1:22">
      <c r="A89" s="44" t="str">
        <f xml:space="preserve"> _xll.EPMOlapMemberO("[TIME].[PARENTH1].[2023.JUN]","","2023.JUN - Jun-23","","000")</f>
        <v>2023.JUN - Jun-23</v>
      </c>
      <c r="B89">
        <f t="shared" si="27"/>
        <v>19470595.440000001</v>
      </c>
      <c r="C89">
        <v>6768908.6600000001</v>
      </c>
      <c r="D89">
        <v>7608777.7800000003</v>
      </c>
      <c r="E89">
        <v>2589956.62</v>
      </c>
      <c r="G89">
        <v>2474236.11</v>
      </c>
      <c r="O89">
        <v>28716.27</v>
      </c>
      <c r="P89" s="7"/>
      <c r="Q89" s="7">
        <f t="shared" si="22"/>
        <v>0</v>
      </c>
      <c r="R89" s="7">
        <f t="shared" si="23"/>
        <v>16996359.330000002</v>
      </c>
      <c r="S89" s="7">
        <f t="shared" si="24"/>
        <v>2474236.11</v>
      </c>
      <c r="T89" s="7">
        <f t="shared" ref="T89" si="37">SUM(R89:S89)</f>
        <v>19470595.440000001</v>
      </c>
      <c r="U89" s="38">
        <v>45078</v>
      </c>
      <c r="V89" s="43">
        <f t="shared" si="26"/>
        <v>0</v>
      </c>
    </row>
    <row r="90" spans="1:22">
      <c r="A90" s="44" t="str">
        <f xml:space="preserve"> _xll.EPMOlapMemberO("[TIME].[PARENTH1].[2023.JUL]","","2023.JUL - Jul-23","","000")</f>
        <v>2023.JUL - Jul-23</v>
      </c>
      <c r="B90">
        <f t="shared" si="27"/>
        <v>7586748.1800000006</v>
      </c>
      <c r="C90">
        <v>2560150.86</v>
      </c>
      <c r="D90">
        <v>2286606.39</v>
      </c>
      <c r="E90">
        <v>823378.57</v>
      </c>
      <c r="G90">
        <v>1915442.75</v>
      </c>
      <c r="O90">
        <v>1169.6099999999999</v>
      </c>
      <c r="P90" s="7"/>
      <c r="Q90" s="7">
        <f t="shared" si="22"/>
        <v>0</v>
      </c>
      <c r="R90" s="7">
        <f t="shared" si="23"/>
        <v>5671305.4300000006</v>
      </c>
      <c r="S90" s="7">
        <f t="shared" si="24"/>
        <v>1915442.75</v>
      </c>
      <c r="T90" s="7">
        <f t="shared" ref="T90" si="38">SUM(R90:S90)</f>
        <v>7586748.1800000006</v>
      </c>
      <c r="U90" s="38">
        <v>45108</v>
      </c>
      <c r="V90" s="43">
        <f t="shared" si="26"/>
        <v>0</v>
      </c>
    </row>
    <row r="91" spans="1:22">
      <c r="A91" s="44" t="str">
        <f xml:space="preserve"> _xll.EPMOlapMemberO("[TIME].[PARENTH1].[2023.AUG]","","2023.AUG - Aug-23","","000")</f>
        <v>2023.AUG - Aug-23</v>
      </c>
      <c r="B91">
        <f t="shared" si="27"/>
        <v>15185313.890000001</v>
      </c>
      <c r="C91">
        <v>3897338.99</v>
      </c>
      <c r="D91">
        <v>6882814.2199999997</v>
      </c>
      <c r="E91">
        <v>886374.92</v>
      </c>
      <c r="G91">
        <v>3520775.84</v>
      </c>
      <c r="O91">
        <v>-1990.08</v>
      </c>
      <c r="P91" s="7"/>
      <c r="Q91" s="7">
        <f t="shared" si="22"/>
        <v>0</v>
      </c>
      <c r="R91" s="7">
        <f t="shared" si="23"/>
        <v>11664538.050000001</v>
      </c>
      <c r="S91" s="7">
        <f t="shared" si="24"/>
        <v>3520775.84</v>
      </c>
      <c r="T91" s="7">
        <f t="shared" ref="T91" si="39">SUM(R91:S91)</f>
        <v>15185313.890000001</v>
      </c>
      <c r="U91" s="38">
        <v>45139</v>
      </c>
      <c r="V91" s="43">
        <f t="shared" si="26"/>
        <v>0</v>
      </c>
    </row>
    <row r="92" spans="1:22">
      <c r="A92" s="44" t="str">
        <f xml:space="preserve"> _xll.EPMOlapMemberO("[TIME].[PARENTH1].[2023.SEP]","","2023.SEP - Sep-23","","000")</f>
        <v>2023.SEP - Sep-23</v>
      </c>
      <c r="B92">
        <f t="shared" si="27"/>
        <v>20429858.140000001</v>
      </c>
      <c r="C92">
        <v>5851919.7800000003</v>
      </c>
      <c r="D92">
        <v>7053314.4500000002</v>
      </c>
      <c r="E92">
        <v>2371681.36</v>
      </c>
      <c r="G92">
        <v>5048180.53</v>
      </c>
      <c r="O92">
        <v>104762.02</v>
      </c>
      <c r="P92" s="7"/>
      <c r="Q92" s="7">
        <f t="shared" si="22"/>
        <v>0</v>
      </c>
      <c r="R92" s="7">
        <f t="shared" si="23"/>
        <v>15381677.609999999</v>
      </c>
      <c r="S92" s="7">
        <f t="shared" si="24"/>
        <v>5048180.53</v>
      </c>
      <c r="T92" s="7">
        <f t="shared" ref="T92" si="40">SUM(R92:S92)</f>
        <v>20429858.140000001</v>
      </c>
      <c r="U92" s="38">
        <v>45170</v>
      </c>
      <c r="V92" s="43">
        <f t="shared" si="26"/>
        <v>0</v>
      </c>
    </row>
    <row r="93" spans="1:22">
      <c r="A93" s="44" t="str">
        <f xml:space="preserve"> _xll.EPMOlapMemberO("[TIME].[PARENTH1].[2023.OCT]","","2023.OCT - Oct-23","","000")</f>
        <v>2023.OCT - Oct-23</v>
      </c>
      <c r="B93">
        <f t="shared" si="27"/>
        <v>10587167.24</v>
      </c>
      <c r="C93">
        <v>4882182.0599999996</v>
      </c>
      <c r="D93">
        <v>2304861.79</v>
      </c>
      <c r="E93">
        <v>815039.23</v>
      </c>
      <c r="G93">
        <v>2569960.36</v>
      </c>
      <c r="O93">
        <v>15123.8</v>
      </c>
      <c r="P93" s="7"/>
      <c r="Q93" s="7">
        <f t="shared" si="22"/>
        <v>0</v>
      </c>
      <c r="R93" s="7">
        <f t="shared" si="23"/>
        <v>8017206.8799999999</v>
      </c>
      <c r="S93" s="7">
        <f t="shared" si="24"/>
        <v>2569960.36</v>
      </c>
      <c r="T93" s="7">
        <f t="shared" ref="T93" si="41">SUM(R93:S93)</f>
        <v>10587167.24</v>
      </c>
      <c r="U93" s="38">
        <v>45200</v>
      </c>
      <c r="V93" s="43">
        <f t="shared" si="26"/>
        <v>0</v>
      </c>
    </row>
    <row r="94" spans="1:22">
      <c r="A94" s="44" t="str">
        <f xml:space="preserve"> _xll.EPMOlapMemberO("[TIME].[PARENTH1].[2023.NOV]","","2023.NOV - Nov-23","","000")</f>
        <v>2023.NOV - Nov-23</v>
      </c>
      <c r="B94">
        <f t="shared" si="27"/>
        <v>12809849.970000001</v>
      </c>
      <c r="C94">
        <v>4198247.96</v>
      </c>
      <c r="D94">
        <v>3484710.01</v>
      </c>
      <c r="E94">
        <v>1897102.27</v>
      </c>
      <c r="G94">
        <v>3229427.83</v>
      </c>
      <c r="O94">
        <v>361.9</v>
      </c>
      <c r="P94" s="7"/>
      <c r="Q94" s="7">
        <f t="shared" si="22"/>
        <v>0</v>
      </c>
      <c r="R94" s="7">
        <f t="shared" si="23"/>
        <v>9580422.1400000006</v>
      </c>
      <c r="S94" s="7">
        <f t="shared" si="24"/>
        <v>3229427.83</v>
      </c>
      <c r="T94" s="7">
        <f t="shared" ref="T94" si="42">SUM(R94:S94)</f>
        <v>12809849.970000001</v>
      </c>
      <c r="U94" s="38">
        <v>45231</v>
      </c>
      <c r="V94" s="43">
        <f t="shared" si="26"/>
        <v>0</v>
      </c>
    </row>
    <row r="95" spans="1:22">
      <c r="A95" s="44" t="str">
        <f xml:space="preserve"> _xll.EPMOlapMemberO("[TIME].[PARENTH1].[2023.DEC]","","2023.DEC - Dec-23","","000")</f>
        <v>2023.DEC - Dec-23</v>
      </c>
      <c r="B95">
        <f t="shared" si="27"/>
        <v>22067068.220000003</v>
      </c>
      <c r="C95">
        <v>6832023.6799999997</v>
      </c>
      <c r="D95">
        <v>6772023.21</v>
      </c>
      <c r="E95">
        <v>2840498.46</v>
      </c>
      <c r="G95">
        <v>5622013.5499999998</v>
      </c>
      <c r="O95">
        <v>509.32</v>
      </c>
      <c r="P95" s="7"/>
      <c r="Q95" s="7">
        <f t="shared" si="22"/>
        <v>0</v>
      </c>
      <c r="R95" s="7">
        <f t="shared" si="23"/>
        <v>16445054.670000002</v>
      </c>
      <c r="S95" s="7">
        <f t="shared" si="24"/>
        <v>5622013.5499999998</v>
      </c>
      <c r="T95" s="7">
        <f t="shared" ref="T95" si="43">SUM(R95:S95)</f>
        <v>22067068.220000003</v>
      </c>
      <c r="U95" s="38">
        <v>45261</v>
      </c>
      <c r="V95" s="43">
        <f t="shared" si="26"/>
        <v>0</v>
      </c>
    </row>
    <row r="96" spans="1:22">
      <c r="A96" t="str">
        <f xml:space="preserve"> _xll.EPMOlapMemberO("[TIME].[PARENTH1].[2024.JAN]","","2024.JAN - Jan-24","","000")</f>
        <v>2024.JAN - Jan-24</v>
      </c>
      <c r="B96">
        <f t="shared" si="27"/>
        <v>4898569.46</v>
      </c>
      <c r="C96">
        <v>1405652.1</v>
      </c>
      <c r="D96">
        <v>2231598.4500000002</v>
      </c>
      <c r="E96">
        <v>338057.89</v>
      </c>
      <c r="G96">
        <v>926262.3</v>
      </c>
      <c r="O96">
        <v>-3001.28</v>
      </c>
      <c r="P96" s="7"/>
      <c r="Q96" s="7">
        <f t="shared" si="22"/>
        <v>0</v>
      </c>
      <c r="R96" s="7">
        <f t="shared" si="23"/>
        <v>3972307.1600000006</v>
      </c>
      <c r="S96" s="7">
        <f t="shared" si="24"/>
        <v>926262.3</v>
      </c>
      <c r="T96" s="7">
        <f t="shared" ref="T96" si="44">SUM(R96:S96)</f>
        <v>4898569.4600000009</v>
      </c>
      <c r="U96" s="38">
        <v>45292</v>
      </c>
      <c r="V96" s="43">
        <f t="shared" si="26"/>
        <v>0</v>
      </c>
    </row>
    <row r="97" spans="1:22">
      <c r="A97" t="str">
        <f xml:space="preserve"> _xll.EPMOlapMemberO("[TIME].[PARENTH1].[2024.FEB]","","2024.FEB - Feb-24","","000")</f>
        <v>2024.FEB - Feb-24</v>
      </c>
      <c r="B97">
        <f t="shared" si="27"/>
        <v>8277497.4500000002</v>
      </c>
      <c r="C97">
        <v>1644887.86</v>
      </c>
      <c r="D97">
        <v>3532272.68</v>
      </c>
      <c r="E97">
        <v>1476053.63</v>
      </c>
      <c r="G97">
        <v>1624101.41</v>
      </c>
      <c r="O97">
        <v>181.87</v>
      </c>
      <c r="P97" s="7"/>
      <c r="Q97" s="7">
        <f t="shared" si="22"/>
        <v>0</v>
      </c>
      <c r="R97" s="7">
        <f t="shared" si="23"/>
        <v>6653396.04</v>
      </c>
      <c r="S97" s="7">
        <f t="shared" si="24"/>
        <v>1624101.41</v>
      </c>
      <c r="T97" s="7">
        <f t="shared" ref="T97" si="45">SUM(R97:S97)</f>
        <v>8277497.4500000002</v>
      </c>
      <c r="U97" s="38">
        <v>45323</v>
      </c>
      <c r="V97" s="43">
        <f t="shared" si="26"/>
        <v>0</v>
      </c>
    </row>
    <row r="98" spans="1:22">
      <c r="A98" t="str">
        <f xml:space="preserve"> _xll.EPMOlapMemberO("[TIME].[PARENTH1].[2024.MAR]","","2024.MAR - Mar-24","","000")</f>
        <v>2024.MAR - Mar-24</v>
      </c>
      <c r="B98">
        <f t="shared" si="27"/>
        <v>21373676.189999998</v>
      </c>
      <c r="C98">
        <v>7146371.4199999999</v>
      </c>
      <c r="D98">
        <v>9000832.3599999994</v>
      </c>
      <c r="E98">
        <v>2272106.09</v>
      </c>
      <c r="G98">
        <v>2927928.82</v>
      </c>
      <c r="O98">
        <v>26437.5</v>
      </c>
      <c r="P98" s="7"/>
      <c r="Q98" s="7">
        <f t="shared" si="22"/>
        <v>0</v>
      </c>
      <c r="R98" s="7">
        <f t="shared" si="23"/>
        <v>18445747.369999997</v>
      </c>
      <c r="S98" s="7">
        <f t="shared" si="24"/>
        <v>2927928.82</v>
      </c>
      <c r="T98" s="7">
        <f t="shared" ref="T98" si="46">SUM(R98:S98)</f>
        <v>21373676.189999998</v>
      </c>
      <c r="U98" s="38">
        <v>45352</v>
      </c>
      <c r="V98" s="43">
        <f t="shared" si="26"/>
        <v>0</v>
      </c>
    </row>
    <row r="99" spans="1:22">
      <c r="A99" t="str">
        <f xml:space="preserve"> _xll.EPMOlapMemberO("[TIME].[PARENTH1].[2024.APR]","","2024.APR - Apr-24","","000")</f>
        <v>2024.APR - Apr-24</v>
      </c>
      <c r="B99">
        <f t="shared" si="27"/>
        <v>5479542.7800000012</v>
      </c>
      <c r="C99">
        <v>1545240.62</v>
      </c>
      <c r="D99">
        <v>2466801.9700000002</v>
      </c>
      <c r="E99">
        <v>748001.96</v>
      </c>
      <c r="G99">
        <v>723746.11</v>
      </c>
      <c r="O99">
        <v>-4247.88</v>
      </c>
      <c r="P99" s="7"/>
      <c r="Q99" s="7">
        <f t="shared" si="22"/>
        <v>0</v>
      </c>
      <c r="R99" s="7">
        <f t="shared" si="23"/>
        <v>4755796.6700000009</v>
      </c>
      <c r="S99" s="7">
        <f t="shared" si="24"/>
        <v>723746.11</v>
      </c>
      <c r="T99" s="7">
        <f t="shared" ref="T99" si="47">SUM(R99:S99)</f>
        <v>5479542.7800000012</v>
      </c>
      <c r="U99" s="38">
        <v>45383</v>
      </c>
      <c r="V99" s="43">
        <f t="shared" si="26"/>
        <v>0</v>
      </c>
    </row>
    <row r="100" spans="1:22">
      <c r="A100" t="str">
        <f xml:space="preserve"> _xll.EPMOlapMemberO("[TIME].[PARENTH1].[2024.MAY]","","2024.MAY - May-24","","000")</f>
        <v>2024.MAY - May-24</v>
      </c>
      <c r="B100">
        <f t="shared" si="27"/>
        <v>8079511.2499999991</v>
      </c>
      <c r="C100">
        <v>4873372.6399999997</v>
      </c>
      <c r="D100">
        <v>2189268.39</v>
      </c>
      <c r="E100">
        <v>678520.55</v>
      </c>
      <c r="G100">
        <v>336107.88</v>
      </c>
      <c r="I100">
        <v>308.05</v>
      </c>
      <c r="O100">
        <v>1933.74</v>
      </c>
      <c r="P100" s="7"/>
      <c r="Q100" s="7">
        <f t="shared" si="22"/>
        <v>0</v>
      </c>
      <c r="R100" s="7">
        <f t="shared" si="23"/>
        <v>7743095.3199999994</v>
      </c>
      <c r="S100" s="7">
        <f t="shared" si="24"/>
        <v>336107.88</v>
      </c>
      <c r="T100" s="7">
        <f t="shared" ref="T100" si="48">SUM(R100:S100)</f>
        <v>8079203.1999999993</v>
      </c>
      <c r="U100" s="38">
        <v>45413</v>
      </c>
      <c r="V100" s="43">
        <f t="shared" si="26"/>
        <v>-308.04999999981374</v>
      </c>
    </row>
    <row r="101" spans="1:22">
      <c r="A101" t="str">
        <f xml:space="preserve"> _xll.EPMOlapMemberO("[TIME].[PARENTH1].[2024.JUN]","","2024.JUN - Jun-24","","000")</f>
        <v>2024.JUN - Jun-24</v>
      </c>
      <c r="B101">
        <f t="shared" si="27"/>
        <v>22376752.609999999</v>
      </c>
      <c r="C101">
        <v>5376750.3099999996</v>
      </c>
      <c r="D101">
        <v>8307761.5899999999</v>
      </c>
      <c r="E101">
        <v>2951558.89</v>
      </c>
      <c r="G101">
        <v>5756167.7699999996</v>
      </c>
      <c r="I101">
        <v>-308.05</v>
      </c>
      <c r="O101">
        <v>-15177.9</v>
      </c>
      <c r="P101" s="7"/>
      <c r="Q101" s="7">
        <f t="shared" si="22"/>
        <v>0</v>
      </c>
      <c r="R101" s="7">
        <f t="shared" si="23"/>
        <v>16620892.889999999</v>
      </c>
      <c r="S101" s="7">
        <f t="shared" si="24"/>
        <v>5756167.7699999996</v>
      </c>
      <c r="T101" s="7">
        <f t="shared" ref="T101" si="49">SUM(R101:S101)</f>
        <v>22377060.659999996</v>
      </c>
      <c r="U101" s="38">
        <v>45414</v>
      </c>
      <c r="V101" s="43">
        <f t="shared" si="26"/>
        <v>308.04999999701977</v>
      </c>
    </row>
    <row r="102" spans="1:22">
      <c r="A102" t="str">
        <f xml:space="preserve"> _xll.EPMOlapMemberO("[TIME].[PARENTH1].[2024.JUL]","","2024.JUL - Jul-24","","000")</f>
        <v>2024.JUL - Jul-24</v>
      </c>
      <c r="B102">
        <f t="shared" si="27"/>
        <v>6261508.79</v>
      </c>
      <c r="C102">
        <v>1499662.52</v>
      </c>
      <c r="D102">
        <v>994708.74</v>
      </c>
      <c r="E102">
        <v>536138.22</v>
      </c>
      <c r="G102">
        <v>3231480.44</v>
      </c>
      <c r="O102">
        <v>-481.13</v>
      </c>
      <c r="P102" s="7"/>
      <c r="Q102" s="7">
        <f t="shared" si="22"/>
        <v>0</v>
      </c>
      <c r="R102" s="7">
        <f t="shared" si="23"/>
        <v>3030028.3499999996</v>
      </c>
      <c r="S102" s="7">
        <f t="shared" si="24"/>
        <v>3231480.44</v>
      </c>
      <c r="T102" s="7">
        <f t="shared" ref="T102" si="50">SUM(R102:S102)</f>
        <v>6261508.7899999991</v>
      </c>
      <c r="U102" s="38">
        <v>45415</v>
      </c>
      <c r="V102" s="43">
        <f t="shared" si="26"/>
        <v>0</v>
      </c>
    </row>
    <row r="103" spans="1:22">
      <c r="A103" t="str">
        <f xml:space="preserve"> _xll.EPMOlapMemberO("[TIME].[PARENTH1].[2024.AUG]","","2024.AUG - Aug-24","","000")</f>
        <v>2024.AUG - Aug-24</v>
      </c>
      <c r="B103">
        <f t="shared" si="27"/>
        <v>12010112.67</v>
      </c>
      <c r="C103">
        <v>3073415.11</v>
      </c>
      <c r="D103">
        <v>1910755.73</v>
      </c>
      <c r="E103">
        <v>1398196.25</v>
      </c>
      <c r="G103">
        <v>5563939.3899999997</v>
      </c>
      <c r="O103">
        <v>63806.19</v>
      </c>
      <c r="P103" s="7"/>
      <c r="Q103" s="7">
        <f t="shared" si="22"/>
        <v>0</v>
      </c>
      <c r="R103" s="7">
        <f t="shared" si="23"/>
        <v>6446173.2800000003</v>
      </c>
      <c r="S103" s="7">
        <f t="shared" si="24"/>
        <v>5563939.3899999997</v>
      </c>
      <c r="T103" s="7">
        <f t="shared" ref="T103" si="51">SUM(R103:S103)</f>
        <v>12010112.67</v>
      </c>
      <c r="U103" s="38">
        <v>45416</v>
      </c>
      <c r="V103" s="43">
        <f t="shared" si="26"/>
        <v>0</v>
      </c>
    </row>
    <row r="104" spans="1:22">
      <c r="A104" t="str">
        <f xml:space="preserve"> _xll.EPMOlapMemberO("[TIME].[PARENTH1].[2024.SEP]","","2024.SEP - Sep-24","","000")</f>
        <v>2024.SEP - Sep-24</v>
      </c>
      <c r="B104">
        <f t="shared" si="27"/>
        <v>21044877.379999999</v>
      </c>
      <c r="C104">
        <v>6560066.4400000004</v>
      </c>
      <c r="D104">
        <v>6914010.6399999997</v>
      </c>
      <c r="E104">
        <v>1966910.73</v>
      </c>
      <c r="G104">
        <v>5671693.6600000001</v>
      </c>
      <c r="O104">
        <v>-67804.09</v>
      </c>
      <c r="P104" s="7"/>
      <c r="Q104" s="7">
        <f t="shared" si="22"/>
        <v>0</v>
      </c>
      <c r="R104" s="7">
        <f t="shared" si="23"/>
        <v>15373183.720000001</v>
      </c>
      <c r="S104" s="7">
        <f t="shared" si="24"/>
        <v>5671693.6600000001</v>
      </c>
      <c r="T104" s="7">
        <f t="shared" ref="T104" si="52">SUM(R104:S104)</f>
        <v>21044877.380000003</v>
      </c>
      <c r="U104" s="38">
        <v>45417</v>
      </c>
      <c r="V104" s="43">
        <f t="shared" si="26"/>
        <v>0</v>
      </c>
    </row>
    <row r="105" spans="1:22">
      <c r="A105" t="str">
        <f xml:space="preserve"> _xll.EPMOlapMemberO("[TIME].[PARENTH1].[2024.OCT]","","2024.OCT - Oct-24","","000")</f>
        <v>2024.OCT - Oct-24</v>
      </c>
      <c r="B105">
        <f t="shared" si="27"/>
        <v>8314270.04</v>
      </c>
      <c r="C105">
        <v>1529265.76</v>
      </c>
      <c r="D105">
        <v>2017935.89</v>
      </c>
      <c r="E105">
        <v>689111.68</v>
      </c>
      <c r="G105">
        <v>4077052.84</v>
      </c>
      <c r="O105">
        <v>903.87</v>
      </c>
      <c r="P105" s="7"/>
      <c r="Q105" s="7">
        <f t="shared" si="22"/>
        <v>0</v>
      </c>
      <c r="R105" s="7">
        <f t="shared" si="23"/>
        <v>4237217.2</v>
      </c>
      <c r="S105" s="7">
        <f t="shared" si="24"/>
        <v>4077052.84</v>
      </c>
      <c r="T105" s="7">
        <f t="shared" ref="T105" si="53">SUM(R105:S105)</f>
        <v>8314270.04</v>
      </c>
      <c r="U105" s="38">
        <v>45418</v>
      </c>
      <c r="V105" s="43">
        <f t="shared" si="26"/>
        <v>0</v>
      </c>
    </row>
    <row r="106" spans="1:22">
      <c r="A106" t="str">
        <f xml:space="preserve"> _xll.EPMOlapMemberO("[TIME].[PARENTH1].[2024.NOV]","","2024.NOV - Nov-24","","000")</f>
        <v>2024.NOV - Nov-24</v>
      </c>
      <c r="B106">
        <f t="shared" si="27"/>
        <v>11782271.689999999</v>
      </c>
      <c r="C106">
        <v>3041594.55</v>
      </c>
      <c r="D106">
        <v>2279698.3199999998</v>
      </c>
      <c r="E106">
        <v>841895.66</v>
      </c>
      <c r="G106">
        <v>5617527.5800000001</v>
      </c>
      <c r="O106">
        <v>1555.58</v>
      </c>
      <c r="P106" s="7"/>
      <c r="Q106" s="7">
        <f t="shared" si="22"/>
        <v>0</v>
      </c>
      <c r="R106" s="7">
        <f t="shared" si="23"/>
        <v>6164744.1099999994</v>
      </c>
      <c r="S106" s="7">
        <f t="shared" si="24"/>
        <v>5617527.5800000001</v>
      </c>
      <c r="T106" s="7">
        <f t="shared" ref="T106" si="54">SUM(R106:S106)</f>
        <v>11782271.689999999</v>
      </c>
      <c r="U106" s="38">
        <v>45419</v>
      </c>
      <c r="V106" s="43">
        <f t="shared" si="26"/>
        <v>0</v>
      </c>
    </row>
    <row r="107" spans="1:22">
      <c r="A107" t="str">
        <f xml:space="preserve"> _xll.EPMOlapMemberO("[TIME].[PARENTH1].[2024.DEC]","","2024.DEC - Dec-24","","000")</f>
        <v>2024.DEC - Dec-24</v>
      </c>
      <c r="B107">
        <f t="shared" si="27"/>
        <v>35462829.75</v>
      </c>
      <c r="C107">
        <v>11104674.84</v>
      </c>
      <c r="D107">
        <v>10100878</v>
      </c>
      <c r="E107">
        <v>5170166.26</v>
      </c>
      <c r="G107">
        <v>9086683.6099999994</v>
      </c>
      <c r="O107">
        <v>427.04</v>
      </c>
      <c r="P107" s="7"/>
      <c r="Q107" s="7">
        <f t="shared" si="22"/>
        <v>0</v>
      </c>
      <c r="R107" s="7">
        <f t="shared" si="23"/>
        <v>26376146.140000001</v>
      </c>
      <c r="S107" s="7">
        <f t="shared" si="24"/>
        <v>9086683.6099999994</v>
      </c>
      <c r="T107" s="7">
        <f t="shared" ref="T107:T108" si="55">SUM(R107:S107)</f>
        <v>35462829.75</v>
      </c>
      <c r="U107" s="38">
        <v>45420</v>
      </c>
      <c r="V107" s="43">
        <f t="shared" si="26"/>
        <v>0</v>
      </c>
    </row>
    <row r="108" spans="1:22">
      <c r="A108" t="str">
        <f xml:space="preserve"> _xll.EPMOlapMemberO("[TIME].[PARENTH1].[2025.JAN]","","2025.JAN - Jan-25","","000")</f>
        <v>2025.JAN - Jan-25</v>
      </c>
      <c r="B108">
        <f t="shared" si="27"/>
        <v>4867946.3</v>
      </c>
      <c r="C108">
        <v>1487653.79</v>
      </c>
      <c r="D108">
        <v>1213147.47</v>
      </c>
      <c r="E108">
        <v>375988.49</v>
      </c>
      <c r="G108">
        <v>1826993.94</v>
      </c>
      <c r="O108">
        <v>-35837.39</v>
      </c>
      <c r="P108" s="7"/>
      <c r="Q108" s="7">
        <f t="shared" ref="Q108:Q114" si="56">B108-SUM(C108:O108)</f>
        <v>0</v>
      </c>
      <c r="R108" s="7">
        <f t="shared" ref="R108:R114" si="57">C108+D108+E108+O108</f>
        <v>3040952.36</v>
      </c>
      <c r="S108" s="7">
        <f t="shared" ref="S108:S114" si="58">G108</f>
        <v>1826993.94</v>
      </c>
      <c r="T108" s="7">
        <f t="shared" si="55"/>
        <v>4867946.3</v>
      </c>
      <c r="U108" s="38">
        <v>45421</v>
      </c>
      <c r="V108" s="43">
        <f t="shared" ref="V108:V114" si="59">T108-B108</f>
        <v>0</v>
      </c>
    </row>
    <row r="109" spans="1:22">
      <c r="A109" t="str">
        <f xml:space="preserve"> _xll.EPMOlapMemberO("[TIME].[PARENTH1].[2025.FEB]","","2025.FEB - Feb-25","","000")</f>
        <v>2025.FEB - Feb-25</v>
      </c>
      <c r="B109">
        <f t="shared" si="27"/>
        <v>9324714.5100000016</v>
      </c>
      <c r="C109">
        <v>1944980.37</v>
      </c>
      <c r="D109">
        <v>2887352.71</v>
      </c>
      <c r="E109">
        <v>1277066.75</v>
      </c>
      <c r="G109">
        <v>3182783.45</v>
      </c>
      <c r="O109">
        <v>32531.23</v>
      </c>
      <c r="P109" s="7"/>
      <c r="Q109" s="7">
        <f t="shared" si="56"/>
        <v>0</v>
      </c>
      <c r="R109" s="7">
        <f t="shared" si="57"/>
        <v>6141931.0600000005</v>
      </c>
      <c r="S109" s="7">
        <f t="shared" si="58"/>
        <v>3182783.45</v>
      </c>
      <c r="T109" s="7">
        <f t="shared" ref="T109" si="60">SUM(R109:S109)</f>
        <v>9324714.5100000016</v>
      </c>
      <c r="U109" s="38">
        <v>45422</v>
      </c>
      <c r="V109" s="43">
        <f t="shared" si="59"/>
        <v>0</v>
      </c>
    </row>
    <row r="110" spans="1:22">
      <c r="A110" t="str">
        <f xml:space="preserve"> _xll.EPMOlapMemberO("[TIME].[PARENTH1].[2025.MAR]","","2025.MAR - Mar-25","","000")</f>
        <v>2025.MAR - Mar-25</v>
      </c>
      <c r="B110">
        <f t="shared" si="27"/>
        <v>22480672.09</v>
      </c>
      <c r="C110">
        <v>6220264.2999999998</v>
      </c>
      <c r="D110">
        <v>5261829.84</v>
      </c>
      <c r="E110">
        <v>2402072.3199999998</v>
      </c>
      <c r="G110">
        <v>8594131.6799999997</v>
      </c>
      <c r="O110">
        <v>2373.9499999999998</v>
      </c>
      <c r="P110" s="7"/>
      <c r="Q110" s="7">
        <f t="shared" si="56"/>
        <v>0</v>
      </c>
      <c r="R110" s="7">
        <f t="shared" si="57"/>
        <v>13886540.41</v>
      </c>
      <c r="S110" s="7">
        <f t="shared" si="58"/>
        <v>8594131.6799999997</v>
      </c>
      <c r="T110" s="7">
        <f t="shared" ref="T110" si="61">SUM(R110:S110)</f>
        <v>22480672.09</v>
      </c>
      <c r="U110" s="38">
        <v>45423</v>
      </c>
      <c r="V110" s="43">
        <f t="shared" si="59"/>
        <v>0</v>
      </c>
    </row>
    <row r="111" spans="1:22">
      <c r="A111" t="str">
        <f xml:space="preserve"> _xll.EPMOlapMemberO("[TIME].[PARENTH1].[2025.APR]","","2025.APR - Apr-25","","000")</f>
        <v>2025.APR - Apr-25</v>
      </c>
      <c r="B111">
        <f t="shared" si="27"/>
        <v>3598059.36</v>
      </c>
      <c r="C111">
        <v>2297763.7999999998</v>
      </c>
      <c r="D111">
        <v>767672.96</v>
      </c>
      <c r="E111">
        <v>517806.75</v>
      </c>
      <c r="G111">
        <v>13630.23</v>
      </c>
      <c r="O111">
        <v>1185.6199999999999</v>
      </c>
      <c r="P111" s="7"/>
      <c r="Q111" s="7">
        <f t="shared" si="56"/>
        <v>0</v>
      </c>
      <c r="R111" s="7">
        <f t="shared" si="57"/>
        <v>3584429.13</v>
      </c>
      <c r="S111" s="7">
        <f t="shared" si="58"/>
        <v>13630.23</v>
      </c>
      <c r="T111" s="7">
        <f t="shared" ref="T111" si="62">SUM(R111:S111)</f>
        <v>3598059.36</v>
      </c>
      <c r="U111" s="38">
        <v>45424</v>
      </c>
      <c r="V111" s="43">
        <f t="shared" si="59"/>
        <v>0</v>
      </c>
    </row>
    <row r="112" spans="1:22">
      <c r="A112" t="str">
        <f xml:space="preserve"> _xll.EPMOlapMemberO("[TIME].[PARENTH1].[2025.MAY]","","2025.MAY - May-25","","000")</f>
        <v>2025.MAY - May-25</v>
      </c>
      <c r="B112">
        <f t="shared" si="27"/>
        <v>7641159.4899999993</v>
      </c>
      <c r="C112">
        <v>2850624.61</v>
      </c>
      <c r="D112">
        <v>1881813.86</v>
      </c>
      <c r="E112">
        <v>1075258.33</v>
      </c>
      <c r="G112">
        <v>1834641.68</v>
      </c>
      <c r="O112">
        <v>-1178.99</v>
      </c>
      <c r="P112" s="7"/>
      <c r="Q112" s="7">
        <f t="shared" si="56"/>
        <v>0</v>
      </c>
      <c r="R112" s="7">
        <f t="shared" si="57"/>
        <v>5806517.8099999996</v>
      </c>
      <c r="S112" s="7">
        <f t="shared" si="58"/>
        <v>1834641.68</v>
      </c>
      <c r="T112" s="7">
        <f t="shared" ref="T112" si="63">SUM(R112:S112)</f>
        <v>7641159.4899999993</v>
      </c>
      <c r="U112" s="38">
        <v>45425</v>
      </c>
      <c r="V112" s="43">
        <f t="shared" si="59"/>
        <v>0</v>
      </c>
    </row>
    <row r="113" spans="1:22">
      <c r="A113" t="str">
        <f xml:space="preserve"> _xll.EPMOlapMemberO("[TIME].[PARENTH1].[2025.JUN]","","2025.JUN - Jun-25","","000")</f>
        <v>2025.JUN - Jun-25</v>
      </c>
      <c r="B113">
        <f t="shared" si="27"/>
        <v>17806196.689999998</v>
      </c>
      <c r="C113">
        <v>4426700.53</v>
      </c>
      <c r="D113">
        <v>8794251.7799999993</v>
      </c>
      <c r="E113">
        <v>2058502.4</v>
      </c>
      <c r="G113">
        <v>2517929.8199999998</v>
      </c>
      <c r="O113">
        <v>8812.16</v>
      </c>
      <c r="P113" s="7"/>
      <c r="Q113" s="7">
        <f t="shared" si="56"/>
        <v>0</v>
      </c>
      <c r="R113" s="7">
        <f t="shared" si="57"/>
        <v>15288266.869999999</v>
      </c>
      <c r="S113" s="7">
        <f t="shared" si="58"/>
        <v>2517929.8199999998</v>
      </c>
      <c r="T113" s="7">
        <f t="shared" ref="T113" si="64">SUM(R113:S113)</f>
        <v>17806196.689999998</v>
      </c>
      <c r="U113" s="38">
        <v>45426</v>
      </c>
      <c r="V113" s="43">
        <f t="shared" si="59"/>
        <v>0</v>
      </c>
    </row>
    <row r="114" spans="1:22">
      <c r="A114" t="str">
        <f xml:space="preserve"> _xll.EPMOlapMemberO("[TIME].[PARENTH1].[2025.JUL]","","2025.JUL - Jul-25","","000")</f>
        <v>2025.JUL - Jul-25</v>
      </c>
      <c r="B114">
        <f t="shared" si="27"/>
        <v>5591376.0200000005</v>
      </c>
      <c r="C114">
        <v>1927465.57</v>
      </c>
      <c r="D114">
        <v>1845058.42</v>
      </c>
      <c r="E114">
        <v>688679.04</v>
      </c>
      <c r="G114">
        <v>1065066.53</v>
      </c>
      <c r="O114">
        <v>65106.46</v>
      </c>
      <c r="P114" s="7"/>
      <c r="Q114" s="7">
        <f t="shared" si="56"/>
        <v>0</v>
      </c>
      <c r="R114" s="7">
        <f t="shared" si="57"/>
        <v>4526309.49</v>
      </c>
      <c r="S114" s="7">
        <f t="shared" si="58"/>
        <v>1065066.53</v>
      </c>
      <c r="T114" s="7">
        <f t="shared" ref="T114" si="65">SUM(R114:S114)</f>
        <v>5591376.0200000005</v>
      </c>
      <c r="U114" s="38">
        <v>45427</v>
      </c>
      <c r="V114" s="43">
        <f t="shared" si="59"/>
        <v>0</v>
      </c>
    </row>
    <row r="115" spans="1:22">
      <c r="A115" t="str">
        <f xml:space="preserve"> _xll.EPMOlapMemberO("[TIME].[PARENTH1].[2025.AUG]","","2025.AUG - Aug-25","","000")</f>
        <v>2025.AUG - Aug-25</v>
      </c>
      <c r="B115">
        <f t="shared" si="27"/>
        <v>12684553.48</v>
      </c>
      <c r="C115">
        <v>1830742.29</v>
      </c>
      <c r="D115">
        <v>3796606.43</v>
      </c>
      <c r="E115">
        <v>887198.83</v>
      </c>
      <c r="G115">
        <v>6164038.7699999996</v>
      </c>
      <c r="O115">
        <v>5967.16</v>
      </c>
      <c r="Q115" s="7">
        <f t="shared" ref="Q115" si="66">B115-SUM(C115:O115)</f>
        <v>0</v>
      </c>
      <c r="R115" s="7">
        <f t="shared" ref="R115" si="67">C115+D115+E115+O115</f>
        <v>6520514.7100000009</v>
      </c>
      <c r="S115" s="7">
        <f t="shared" ref="S115" si="68">G115</f>
        <v>6164038.7699999996</v>
      </c>
      <c r="T115" s="7">
        <f t="shared" ref="T115" si="69">SUM(R115:S115)</f>
        <v>12684553.48</v>
      </c>
      <c r="U115" s="38">
        <v>45428</v>
      </c>
      <c r="V115" s="43">
        <f t="shared" ref="V115" si="70">T115-B115</f>
        <v>0</v>
      </c>
    </row>
    <row r="116" spans="1:22">
      <c r="A116" t="str">
        <f xml:space="preserve"> _xll.EPMOlapMemberO("[TIME].[PARENTH1].[2025.SEP]","","2025.SEP - Sep-25","","000")</f>
        <v>2025.SEP - Sep-25</v>
      </c>
      <c r="B116">
        <f t="shared" si="27"/>
        <v>18930075.650000002</v>
      </c>
      <c r="C116">
        <v>6076134.8700000001</v>
      </c>
      <c r="D116">
        <v>7365427.8300000001</v>
      </c>
      <c r="E116">
        <v>1303423.9099999999</v>
      </c>
      <c r="G116">
        <v>4133504.24</v>
      </c>
      <c r="O116">
        <v>51584.800000000003</v>
      </c>
      <c r="Q116" s="7">
        <f t="shared" ref="Q116" si="71">B116-SUM(C116:O116)</f>
        <v>0</v>
      </c>
      <c r="R116" s="7">
        <f t="shared" ref="R116" si="72">C116+D116+E116+O116</f>
        <v>14796571.41</v>
      </c>
      <c r="S116" s="7">
        <f t="shared" ref="S116" si="73">G116</f>
        <v>4133504.24</v>
      </c>
      <c r="T116" s="7">
        <f t="shared" ref="T116" si="74">SUM(R116:S116)</f>
        <v>18930075.649999999</v>
      </c>
      <c r="U116" s="38">
        <v>45429</v>
      </c>
      <c r="V116" s="43">
        <f t="shared" ref="V116" si="75">T116-B116</f>
        <v>0</v>
      </c>
    </row>
    <row r="117" spans="1:22">
      <c r="A117" t="str">
        <f xml:space="preserve"> _xll.EPMOlapMemberO("[TIME].[PARENTH1].[2025.OCT]","","2025.OCT - Oct-25","","000")</f>
        <v>2025.OCT - Oct-25</v>
      </c>
      <c r="B117">
        <f t="shared" si="27"/>
        <v>9136190.2399999984</v>
      </c>
      <c r="C117">
        <v>2802373.77</v>
      </c>
      <c r="D117">
        <v>2083122.95</v>
      </c>
      <c r="E117">
        <v>1168132.1200000001</v>
      </c>
      <c r="G117">
        <v>2996242.03</v>
      </c>
      <c r="O117">
        <v>86319.37</v>
      </c>
      <c r="Q117" s="7">
        <f t="shared" ref="Q117:Q118" si="76">B117-SUM(C117:O117)</f>
        <v>0</v>
      </c>
      <c r="R117" s="7">
        <f t="shared" ref="R117:R118" si="77">C117+D117+E117+O117</f>
        <v>6139948.21</v>
      </c>
      <c r="S117" s="7">
        <f t="shared" ref="S117:S118" si="78">G117</f>
        <v>2996242.03</v>
      </c>
      <c r="T117" s="7">
        <f t="shared" ref="T117:T118" si="79">SUM(R117:S117)</f>
        <v>9136190.2400000002</v>
      </c>
      <c r="U117" s="38">
        <v>45430</v>
      </c>
      <c r="V117" s="43">
        <f t="shared" ref="V117:V118" si="80">T117-B117</f>
        <v>0</v>
      </c>
    </row>
    <row r="118" spans="1:22">
      <c r="A118" t="str">
        <f xml:space="preserve"> _xll.EPMOlapMemberO("[TIME].[PARENTH1].[2025.NOV]","","2025.NOV - Nov-25","","000")</f>
        <v>2025.NOV - Nov-25</v>
      </c>
      <c r="B118">
        <f t="shared" si="27"/>
        <v>12009363.340000002</v>
      </c>
      <c r="C118">
        <v>2412169.36</v>
      </c>
      <c r="D118">
        <v>4357593.92</v>
      </c>
      <c r="E118">
        <v>406020.48</v>
      </c>
      <c r="G118">
        <v>4835770.2</v>
      </c>
      <c r="O118">
        <v>-2190.62</v>
      </c>
      <c r="Q118" s="7">
        <f t="shared" si="76"/>
        <v>0</v>
      </c>
      <c r="R118" s="7">
        <f t="shared" si="77"/>
        <v>7173593.1399999997</v>
      </c>
      <c r="S118" s="7">
        <f t="shared" si="78"/>
        <v>4835770.2</v>
      </c>
      <c r="T118" s="7">
        <f t="shared" si="79"/>
        <v>12009363.34</v>
      </c>
      <c r="U118" s="38">
        <v>45431</v>
      </c>
      <c r="V118" s="43">
        <f t="shared" si="80"/>
        <v>0</v>
      </c>
    </row>
    <row r="119" spans="1:22">
      <c r="A119" t="str">
        <f xml:space="preserve"> _xll.EPMOlapMemberO("[TIME].[PARENTH1].[2025.DEC]","","2025.DEC - Dec-25","","000")</f>
        <v>2025.DEC - Dec-25</v>
      </c>
      <c r="B119">
        <f t="shared" si="27"/>
        <v>32495935.300000001</v>
      </c>
      <c r="C119">
        <v>7036108.2300000004</v>
      </c>
      <c r="D119">
        <v>6012819.6900000004</v>
      </c>
      <c r="E119">
        <v>2431057.48</v>
      </c>
      <c r="G119">
        <v>17000408.149999999</v>
      </c>
      <c r="O119">
        <v>15541.75</v>
      </c>
      <c r="Q119" s="7">
        <f t="shared" ref="Q119" si="81">B119-SUM(C119:O119)</f>
        <v>0</v>
      </c>
      <c r="R119" s="7">
        <f t="shared" ref="R119" si="82">C119+D119+E119+O119</f>
        <v>15495527.150000002</v>
      </c>
      <c r="S119" s="7">
        <f t="shared" ref="S119" si="83">G119</f>
        <v>17000408.149999999</v>
      </c>
      <c r="T119" s="7">
        <f t="shared" ref="T119" si="84">SUM(R119:S119)</f>
        <v>32495935.300000001</v>
      </c>
      <c r="U119" s="38">
        <v>45431</v>
      </c>
      <c r="V119" s="43">
        <f t="shared" ref="V119" si="85">T119-B119</f>
        <v>0</v>
      </c>
    </row>
  </sheetData>
  <pageMargins left="0.7" right="0.7" top="0.75" bottom="0.75" header="0.3" footer="0.3"/>
  <customProperties>
    <customPr name="_pios_id" r:id="rId1"/>
    <customPr name="EpmWorksheetKeyString_GUID" r:id="rId2"/>
    <customPr name="FPMExcelClientCellBasedFunctionStatus" r:id="rId3"/>
    <customPr name="FPMExcelClientRefreshTime" r:id="rId4"/>
  </customProperties>
  <drawing r:id="rId5"/>
  <legacyDrawing r:id="rId6"/>
  <controls>
    <mc:AlternateContent xmlns:mc="http://schemas.openxmlformats.org/markup-compatibility/2006">
      <mc:Choice Requires="x14">
        <control shapeId="22529" r:id="rId13" name="FPMExcelClientSheetOptionstb1">
          <controlPr defaultSize="0" autoLine="0" autoPict="0" r:id="rId14">
            <anchor moveWithCells="1" sizeWithCells="1">
              <from>
                <xdr:col>0</xdr:col>
                <xdr:colOff>0</xdr:colOff>
                <xdr:row>0</xdr:row>
                <xdr:rowOff>0</xdr:rowOff>
              </from>
              <to>
                <xdr:col>1</xdr:col>
                <xdr:colOff>304800</xdr:colOff>
                <xdr:row>0</xdr:row>
                <xdr:rowOff>0</xdr:rowOff>
              </to>
            </anchor>
          </controlPr>
        </control>
      </mc:Choice>
      <mc:Fallback>
        <control shapeId="22529" r:id="rId13" name="FPMExcelClientSheetOptionstb1"/>
      </mc:Fallback>
    </mc:AlternateContent>
    <mc:AlternateContent xmlns:mc="http://schemas.openxmlformats.org/markup-compatibility/2006">
      <mc:Choice Requires="x14">
        <control shapeId="22530" r:id="rId11" name="ConnectionDescriptorsInfotb1">
          <controlPr defaultSize="0" autoLine="0" autoPict="0" r:id="rId12">
            <anchor moveWithCells="1" sizeWithCells="1">
              <from>
                <xdr:col>0</xdr:col>
                <xdr:colOff>0</xdr:colOff>
                <xdr:row>0</xdr:row>
                <xdr:rowOff>0</xdr:rowOff>
              </from>
              <to>
                <xdr:col>1</xdr:col>
                <xdr:colOff>304800</xdr:colOff>
                <xdr:row>0</xdr:row>
                <xdr:rowOff>0</xdr:rowOff>
              </to>
            </anchor>
          </controlPr>
        </control>
      </mc:Choice>
      <mc:Fallback>
        <control shapeId="22530" r:id="rId11" name="ConnectionDescriptorsInfotb1"/>
      </mc:Fallback>
    </mc:AlternateContent>
    <mc:AlternateContent xmlns:mc="http://schemas.openxmlformats.org/markup-compatibility/2006">
      <mc:Choice Requires="x14">
        <control shapeId="22531" r:id="rId9" name="MultipleReportManagerInfotb1">
          <controlPr defaultSize="0" autoLine="0" autoPict="0" r:id="rId10">
            <anchor moveWithCells="1" sizeWithCells="1">
              <from>
                <xdr:col>0</xdr:col>
                <xdr:colOff>0</xdr:colOff>
                <xdr:row>0</xdr:row>
                <xdr:rowOff>0</xdr:rowOff>
              </from>
              <to>
                <xdr:col>1</xdr:col>
                <xdr:colOff>304800</xdr:colOff>
                <xdr:row>0</xdr:row>
                <xdr:rowOff>0</xdr:rowOff>
              </to>
            </anchor>
          </controlPr>
        </control>
      </mc:Choice>
      <mc:Fallback>
        <control shapeId="22531" r:id="rId9" name="MultipleReportManagerInfotb1"/>
      </mc:Fallback>
    </mc:AlternateContent>
    <mc:AlternateContent xmlns:mc="http://schemas.openxmlformats.org/markup-compatibility/2006">
      <mc:Choice Requires="x14">
        <control shapeId="22532" r:id="rId7" name="AnalyzerDynReport000tb1">
          <controlPr defaultSize="0" autoLine="0" autoPict="0" r:id="rId8">
            <anchor moveWithCells="1" sizeWithCells="1">
              <from>
                <xdr:col>0</xdr:col>
                <xdr:colOff>0</xdr:colOff>
                <xdr:row>0</xdr:row>
                <xdr:rowOff>0</xdr:rowOff>
              </from>
              <to>
                <xdr:col>1</xdr:col>
                <xdr:colOff>304800</xdr:colOff>
                <xdr:row>0</xdr:row>
                <xdr:rowOff>0</xdr:rowOff>
              </to>
            </anchor>
          </controlPr>
        </control>
      </mc:Choice>
      <mc:Fallback>
        <control shapeId="22532" r:id="rId7" name="AnalyzerDynReport000tb1"/>
      </mc:Fallback>
    </mc:AlternateContent>
  </control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0"/>
  <dimension ref="A1:BU253"/>
  <sheetViews>
    <sheetView topLeftCell="A229" zoomScale="80" zoomScaleNormal="80" workbookViewId="0">
      <selection activeCell="B45" sqref="B45"/>
    </sheetView>
  </sheetViews>
  <sheetFormatPr defaultRowHeight="15" outlineLevelRow="2"/>
  <cols>
    <col min="1" max="1" width="23.5703125" bestFit="1" customWidth="1"/>
    <col min="2" max="2" width="109.42578125" bestFit="1" customWidth="1"/>
    <col min="3" max="3" width="41.28515625" bestFit="1" customWidth="1"/>
    <col min="4" max="4" width="29.85546875" bestFit="1" customWidth="1"/>
    <col min="5" max="5" width="28.85546875" bestFit="1" customWidth="1"/>
    <col min="6" max="6" width="30.7109375" bestFit="1" customWidth="1"/>
    <col min="7" max="7" width="40.7109375" bestFit="1" customWidth="1"/>
    <col min="8" max="8" width="19.140625" bestFit="1" customWidth="1"/>
    <col min="9" max="9" width="17.7109375" bestFit="1" customWidth="1"/>
    <col min="10" max="10" width="16.5703125" bestFit="1" customWidth="1"/>
    <col min="11" max="11" width="18.7109375" bestFit="1" customWidth="1"/>
    <col min="12" max="12" width="17.7109375" bestFit="1" customWidth="1"/>
    <col min="13" max="13" width="17.42578125" bestFit="1" customWidth="1"/>
    <col min="14" max="14" width="18.7109375" bestFit="1" customWidth="1"/>
    <col min="15" max="15" width="18" bestFit="1" customWidth="1"/>
    <col min="16" max="16" width="17.42578125" bestFit="1" customWidth="1"/>
    <col min="17" max="17" width="17.85546875" bestFit="1" customWidth="1"/>
    <col min="18" max="18" width="19.140625" bestFit="1" customWidth="1"/>
    <col min="19" max="19" width="17.7109375" bestFit="1" customWidth="1"/>
    <col min="20" max="20" width="19.140625" bestFit="1" customWidth="1"/>
    <col min="21" max="21" width="17.7109375" bestFit="1" customWidth="1"/>
    <col min="22" max="22" width="16.5703125" bestFit="1" customWidth="1"/>
    <col min="23" max="23" width="18.7109375" bestFit="1" customWidth="1"/>
    <col min="24" max="24" width="17.7109375" bestFit="1" customWidth="1"/>
    <col min="25" max="25" width="17.42578125" bestFit="1" customWidth="1"/>
    <col min="26" max="26" width="18.7109375" bestFit="1" customWidth="1"/>
    <col min="27" max="27" width="18" bestFit="1" customWidth="1"/>
    <col min="28" max="28" width="17.42578125" bestFit="1" customWidth="1"/>
    <col min="29" max="29" width="17.85546875" bestFit="1" customWidth="1"/>
    <col min="30" max="30" width="19.140625" bestFit="1" customWidth="1"/>
    <col min="31" max="31" width="17.7109375" bestFit="1" customWidth="1"/>
    <col min="32" max="32" width="19.140625" bestFit="1" customWidth="1"/>
    <col min="33" max="33" width="17.7109375" bestFit="1" customWidth="1"/>
    <col min="34" max="34" width="16.5703125" bestFit="1" customWidth="1"/>
    <col min="35" max="35" width="18.7109375" bestFit="1" customWidth="1"/>
    <col min="36" max="36" width="17.7109375" bestFit="1" customWidth="1"/>
    <col min="37" max="37" width="17.42578125" bestFit="1" customWidth="1"/>
    <col min="38" max="38" width="18.7109375" bestFit="1" customWidth="1"/>
  </cols>
  <sheetData>
    <row r="1" spans="1:73" hidden="1" outlineLevel="2"/>
    <row r="2" spans="1:73" hidden="1" outlineLevel="2"/>
    <row r="3" spans="1:73" hidden="1" outlineLevel="2"/>
    <row r="4" spans="1:73" hidden="1" outlineLevel="2">
      <c r="A4" t="str">
        <f xml:space="preserve"> _xll.EPMOlapMemberO("[PROFITCENTER].[PARENTH1].[01NAMGMINT01]","","North America Gaming","","000")</f>
        <v>North America Gaming</v>
      </c>
    </row>
    <row r="5" spans="1:73" hidden="1" outlineLevel="2">
      <c r="A5" t="str">
        <f xml:space="preserve"> _xll.EPMOlapMemberO("[PROBABILITY].[PARENTH2].[PLAN]","","Plan","","000")</f>
        <v>Plan</v>
      </c>
      <c r="C5" t="s">
        <v>47</v>
      </c>
    </row>
    <row r="6" spans="1:73" hidden="1" outlineLevel="2">
      <c r="A6" s="30" t="str">
        <f xml:space="preserve"> _xll.EPMOlapMemberO("[FUNCTIONALAREA].[PARENTH1].[PROD]","","Product","","000")</f>
        <v>Product</v>
      </c>
      <c r="B6" s="30"/>
    </row>
    <row r="7" spans="1:73" hidden="1" outlineLevel="1">
      <c r="A7" s="30" t="str">
        <f xml:space="preserve"> _xll.EPMOlapMemberO("[PRODUCT].[PARENTH1].[ALL_PROD]","","All Products","","000")</f>
        <v>All Products</v>
      </c>
    </row>
    <row r="8" spans="1:73" hidden="1" outlineLevel="1">
      <c r="A8" s="30" t="str">
        <f xml:space="preserve"> _xll.EPMOlapMemberO("[GAME].[PARENTH1].[ALL_GAME]","","All Games","","000")</f>
        <v>All Games</v>
      </c>
    </row>
    <row r="9" spans="1:73" hidden="1" outlineLevel="1">
      <c r="A9" s="30" t="str">
        <f xml:space="preserve"> _xll.EPMOlapMemberO("[VERSION].[PARENTH1].[ACTUAL]","","Actual","","000")</f>
        <v>Actual</v>
      </c>
    </row>
    <row r="10" spans="1:73" hidden="1" outlineLevel="1">
      <c r="A10" s="30" t="str">
        <f xml:space="preserve"> _xll.EPMOlapMemberO("[INPUTCURRENCY].[PARENTH1].[30]","","USD","","000")</f>
        <v>USD</v>
      </c>
    </row>
    <row r="11" spans="1:73" hidden="1" outlineLevel="1">
      <c r="A11" s="30"/>
    </row>
    <row r="12" spans="1:73" hidden="1" outlineLevel="1">
      <c r="A12" s="30"/>
      <c r="D12" t="str">
        <f xml:space="preserve"> _xll.EPMOlapMemberO("[TIME].[PARENTH1].[2017.JAN]","","2017.JAN - Jan-17","","000")</f>
        <v>2017.JAN - Jan-17</v>
      </c>
      <c r="E12" t="str">
        <f xml:space="preserve"> _xll.EPMOlapMemberO("[TIME].[PARENTH1].[2017.FEB]","","2017.FEB - Feb-17","","000")</f>
        <v>2017.FEB - Feb-17</v>
      </c>
      <c r="F12" t="str">
        <f xml:space="preserve"> _xll.EPMOlapMemberO("[TIME].[PARENTH1].[2017.MAR]","","2017.MAR - Mar-17","","000")</f>
        <v>2017.MAR - Mar-17</v>
      </c>
      <c r="G12" t="str">
        <f xml:space="preserve"> _xll.EPMOlapMemberO("[TIME].[PARENTH1].[2017.APR]","","2017.APR - Apr-17","","000")</f>
        <v>2017.APR - Apr-17</v>
      </c>
      <c r="H12" t="str">
        <f xml:space="preserve"> _xll.EPMOlapMemberO("[TIME].[PARENTH1].[2017.MAY]","","2017.MAY - May-17","","000")</f>
        <v>2017.MAY - May-17</v>
      </c>
      <c r="I12" t="str">
        <f xml:space="preserve"> _xll.EPMOlapMemberO("[TIME].[PARENTH1].[2017.JUN]","","2017.JUN - Jun-17","","000")</f>
        <v>2017.JUN - Jun-17</v>
      </c>
      <c r="J12" t="str">
        <f xml:space="preserve"> _xll.EPMOlapMemberO("[TIME].[PARENTH1].[2017.JUL]","","2017.JUL - Jul-17","","000")</f>
        <v>2017.JUL - Jul-17</v>
      </c>
      <c r="K12" t="str">
        <f xml:space="preserve"> _xll.EPMOlapMemberO("[TIME].[PARENTH1].[2017.AUG]","","2017.AUG - Aug-17","","000")</f>
        <v>2017.AUG - Aug-17</v>
      </c>
      <c r="L12" t="str">
        <f xml:space="preserve"> _xll.EPMOlapMemberO("[TIME].[PARENTH1].[2017.SEP]","","2017.SEP - Sep-17","","000")</f>
        <v>2017.SEP - Sep-17</v>
      </c>
      <c r="M12" t="str">
        <f xml:space="preserve"> _xll.EPMOlapMemberO("[TIME].[PARENTH1].[2017.OCT]","","2017.OCT - Oct-17","","000")</f>
        <v>2017.OCT - Oct-17</v>
      </c>
      <c r="N12" t="str">
        <f xml:space="preserve"> _xll.EPMOlapMemberO("[TIME].[PARENTH1].[2017.NOV]","","2017.NOV - Nov-17","","000")</f>
        <v>2017.NOV - Nov-17</v>
      </c>
      <c r="O12" t="str">
        <f xml:space="preserve"> _xll.EPMOlapMemberO("[TIME].[PARENTH1].[2017.DEC]","","2017.DEC - Dec-17","","000")</f>
        <v>2017.DEC - Dec-17</v>
      </c>
      <c r="P12" t="str">
        <f xml:space="preserve"> _xll.EPMOlapMemberO("[TIME].[PARENTH1].[2018.JAN]","","2018.JAN - Jan-18","","000")</f>
        <v>2018.JAN - Jan-18</v>
      </c>
      <c r="Q12" t="str">
        <f xml:space="preserve"> _xll.EPMOlapMemberO("[TIME].[PARENTH1].[2018.FEB]","","2018.FEB - Feb-18","","000")</f>
        <v>2018.FEB - Feb-18</v>
      </c>
      <c r="R12" t="str">
        <f xml:space="preserve"> _xll.EPMOlapMemberO("[TIME].[PARENTH1].[2018.MAR]","","2018.MAR - Mar-18","","000")</f>
        <v>2018.MAR - Mar-18</v>
      </c>
      <c r="S12" t="str">
        <f xml:space="preserve"> _xll.EPMOlapMemberO("[TIME].[PARENTH1].[2018.APR]","","2018.APR - Apr-18","","000")</f>
        <v>2018.APR - Apr-18</v>
      </c>
      <c r="T12" t="str">
        <f xml:space="preserve"> _xll.EPMOlapMemberO("[TIME].[PARENTH1].[2018.MAY]","","2018.MAY - May-18","","000")</f>
        <v>2018.MAY - May-18</v>
      </c>
      <c r="U12" t="str">
        <f xml:space="preserve"> _xll.EPMOlapMemberO("[TIME].[PARENTH1].[2018.JUN]","","2018.JUN - Jun-18","","000")</f>
        <v>2018.JUN - Jun-18</v>
      </c>
      <c r="V12" t="str">
        <f xml:space="preserve"> _xll.EPMOlapMemberO("[TIME].[PARENTH1].[2018.JUL]","","2018.JUL - Jul-18","","000")</f>
        <v>2018.JUL - Jul-18</v>
      </c>
      <c r="W12" t="str">
        <f xml:space="preserve"> _xll.EPMOlapMemberO("[TIME].[PARENTH1].[2018.AUG]","","2018.AUG - Aug-18","","000")</f>
        <v>2018.AUG - Aug-18</v>
      </c>
      <c r="X12" t="str">
        <f xml:space="preserve"> _xll.EPMOlapMemberO("[TIME].[PARENTH1].[2018.SEP]","","2018.SEP - Sep-18","","000")</f>
        <v>2018.SEP - Sep-18</v>
      </c>
      <c r="Y12" t="str">
        <f xml:space="preserve"> _xll.EPMOlapMemberO("[TIME].[PARENTH1].[2018.OCT]","","2018.OCT - Oct-18","","000")</f>
        <v>2018.OCT - Oct-18</v>
      </c>
      <c r="Z12" t="str">
        <f xml:space="preserve"> _xll.EPMOlapMemberO("[TIME].[PARENTH1].[2018.NOV]","","2018.NOV - Nov-18","","000")</f>
        <v>2018.NOV - Nov-18</v>
      </c>
      <c r="AA12" t="str">
        <f xml:space="preserve"> _xll.EPMOlapMemberO("[TIME].[PARENTH1].[2018.DEC]","","2018.DEC - Dec-18","","000")</f>
        <v>2018.DEC - Dec-18</v>
      </c>
      <c r="AB12" t="str">
        <f xml:space="preserve"> _xll.EPMOlapMemberO("[TIME].[PARENTH1].[2019.JAN]","","2019.JAN - Jan-19","","000")</f>
        <v>2019.JAN - Jan-19</v>
      </c>
      <c r="AC12" t="str">
        <f xml:space="preserve"> _xll.EPMOlapMemberO("[TIME].[PARENTH1].[2019.FEB]","","2019.FEB - Feb-19","","000")</f>
        <v>2019.FEB - Feb-19</v>
      </c>
      <c r="AD12" t="str">
        <f xml:space="preserve"> _xll.EPMOlapMemberO("[TIME].[PARENTH1].[2019.MAR]","","2019.MAR - Mar-19","","000")</f>
        <v>2019.MAR - Mar-19</v>
      </c>
      <c r="AE12" t="str">
        <f xml:space="preserve"> _xll.EPMOlapMemberO("[TIME].[PARENTH1].[2019.APR]","","2019.APR - Apr-19","","000")</f>
        <v>2019.APR - Apr-19</v>
      </c>
      <c r="AF12" t="str">
        <f xml:space="preserve"> _xll.EPMOlapMemberO("[TIME].[PARENTH1].[2019.MAY]","","2019.MAY - May-19","","000")</f>
        <v>2019.MAY - May-19</v>
      </c>
      <c r="AG12" t="str">
        <f xml:space="preserve"> _xll.EPMOlapMemberO("[TIME].[PARENTH1].[2019.JUN]","","2019.JUN - Jun-19","","000")</f>
        <v>2019.JUN - Jun-19</v>
      </c>
      <c r="AH12" t="str">
        <f xml:space="preserve"> _xll.EPMOlapMemberO("[TIME].[PARENTH1].[2019.JUL]","","2019.JUL - Jul-19","","000")</f>
        <v>2019.JUL - Jul-19</v>
      </c>
      <c r="AI12" t="str">
        <f xml:space="preserve"> _xll.EPMOlapMemberO("[TIME].[PARENTH1].[2019.AUG]","","2019.AUG - Aug-19","","000")</f>
        <v>2019.AUG - Aug-19</v>
      </c>
      <c r="AJ12" t="str">
        <f xml:space="preserve"> _xll.EPMOlapMemberO("[TIME].[PARENTH1].[2019.SEP]","","2019.SEP - Sep-19","","000")</f>
        <v>2019.SEP - Sep-19</v>
      </c>
      <c r="AK12" t="str">
        <f xml:space="preserve"> _xll.EPMOlapMemberO("[TIME].[PARENTH1].[2019.OCT]","","2019.OCT - Oct-19","","000")</f>
        <v>2019.OCT - Oct-19</v>
      </c>
      <c r="AL12" t="str">
        <f xml:space="preserve"> _xll.EPMOlapMemberO("[TIME].[PARENTH1].[2019.NOV]","","2019.NOV - Nov-19","","000")</f>
        <v>2019.NOV - Nov-19</v>
      </c>
    </row>
    <row r="13" spans="1:73" outlineLevel="1">
      <c r="A13" s="30"/>
      <c r="B13" s="45" t="str">
        <f xml:space="preserve"> _xll.EPMOlapMemberO("[ACCOUNT].[PARENTH1].[303000]","","303000 - EGM Terminals","","000")</f>
        <v>303000 - EGM Terminals</v>
      </c>
      <c r="D13" s="42">
        <v>5292184.3499999996</v>
      </c>
      <c r="E13" s="42">
        <v>13233224.5</v>
      </c>
      <c r="F13" s="42">
        <v>45896753.469999999</v>
      </c>
      <c r="G13" s="42">
        <v>6831325.2199999997</v>
      </c>
      <c r="H13" s="42">
        <v>34880362.909999996</v>
      </c>
      <c r="I13" s="42">
        <v>48358717.520000003</v>
      </c>
      <c r="J13" s="42">
        <v>8581530.3000000007</v>
      </c>
      <c r="K13" s="42">
        <v>8746363.5600000005</v>
      </c>
      <c r="L13" s="42">
        <v>37125040.140000001</v>
      </c>
      <c r="M13" s="42">
        <v>5585876.7999999998</v>
      </c>
      <c r="N13" s="42">
        <v>20734631.460000001</v>
      </c>
      <c r="O13" s="42">
        <v>70263488.870000005</v>
      </c>
      <c r="P13" s="42">
        <v>7839322.2599999998</v>
      </c>
      <c r="Q13" s="42">
        <v>20134779.07</v>
      </c>
      <c r="R13" s="42">
        <v>43180121.07</v>
      </c>
      <c r="S13" s="42">
        <v>9258860.5</v>
      </c>
      <c r="T13" s="42">
        <v>19325839</v>
      </c>
      <c r="U13" s="42">
        <v>52190455.270000003</v>
      </c>
      <c r="V13" s="42">
        <v>9493745.0099999998</v>
      </c>
      <c r="W13" s="42">
        <v>14379621.93</v>
      </c>
      <c r="X13" s="42">
        <v>39703111.909999996</v>
      </c>
      <c r="Y13" s="42">
        <v>20567765.879999999</v>
      </c>
      <c r="Z13" s="42">
        <v>21934747.969999999</v>
      </c>
      <c r="AA13" s="42">
        <v>87295124.129999995</v>
      </c>
      <c r="AB13" s="42">
        <v>9146017.0099999998</v>
      </c>
      <c r="AC13" s="42">
        <v>10629327.550000001</v>
      </c>
      <c r="AD13" s="42">
        <v>65660450.030000001</v>
      </c>
      <c r="AE13" s="42">
        <v>11134962.890000001</v>
      </c>
      <c r="AF13" s="42">
        <v>23439954.129999999</v>
      </c>
      <c r="AG13" s="42">
        <v>60881540.560000002</v>
      </c>
      <c r="AH13" s="42">
        <v>13433601.369999999</v>
      </c>
      <c r="AI13" s="42">
        <v>22219237.469999999</v>
      </c>
      <c r="AJ13" s="42">
        <v>61102868.539999999</v>
      </c>
      <c r="AK13" s="42">
        <v>21865960.899999999</v>
      </c>
      <c r="AL13" s="42">
        <v>30137074.109999999</v>
      </c>
      <c r="AM13" s="34"/>
    </row>
    <row r="14" spans="1:73" hidden="1" outlineLevel="1">
      <c r="A14" s="30"/>
      <c r="B14" s="45" t="str">
        <f xml:space="preserve"> _xll.EPMOlapMemberO("[ACCOUNT].[PARENTH1].[303210]","","303210 - Frght","","000")</f>
        <v>303210 - Frght</v>
      </c>
      <c r="D14">
        <v>68979.7</v>
      </c>
      <c r="E14">
        <v>101440.16</v>
      </c>
      <c r="F14">
        <v>312315.33</v>
      </c>
      <c r="G14">
        <v>91101.28</v>
      </c>
      <c r="H14">
        <v>182348.92</v>
      </c>
      <c r="I14">
        <v>309112.96000000002</v>
      </c>
      <c r="J14">
        <v>97195.33</v>
      </c>
      <c r="K14">
        <v>102736.26</v>
      </c>
      <c r="L14">
        <v>301671</v>
      </c>
      <c r="M14">
        <v>93104.94</v>
      </c>
      <c r="N14">
        <v>135014.23000000001</v>
      </c>
      <c r="O14">
        <v>453655.92</v>
      </c>
      <c r="P14">
        <v>103358.25</v>
      </c>
      <c r="Q14">
        <v>125803.19</v>
      </c>
      <c r="R14">
        <v>279518.08000000002</v>
      </c>
      <c r="S14">
        <v>72467.039999999994</v>
      </c>
      <c r="T14">
        <v>138405.71</v>
      </c>
      <c r="U14">
        <v>361926.33</v>
      </c>
      <c r="V14">
        <v>112596.5</v>
      </c>
      <c r="W14">
        <v>160763.45000000001</v>
      </c>
      <c r="X14">
        <v>229559.47</v>
      </c>
      <c r="Y14">
        <v>123254.45</v>
      </c>
      <c r="Z14">
        <v>165465.18</v>
      </c>
      <c r="AA14">
        <v>405321.97</v>
      </c>
      <c r="AB14">
        <v>90141.02</v>
      </c>
      <c r="AC14">
        <v>102204.95</v>
      </c>
      <c r="AD14">
        <v>343222.46</v>
      </c>
      <c r="AE14">
        <v>142806.15</v>
      </c>
      <c r="AF14">
        <v>242843.09</v>
      </c>
      <c r="AG14">
        <v>336335.21</v>
      </c>
      <c r="AH14">
        <v>119742.7</v>
      </c>
      <c r="AI14">
        <v>147434.92000000001</v>
      </c>
      <c r="AJ14">
        <v>416875.35</v>
      </c>
      <c r="AK14">
        <v>111991.62</v>
      </c>
      <c r="AL14">
        <v>166075.01999999999</v>
      </c>
      <c r="BU14" s="34"/>
    </row>
    <row r="15" spans="1:73" hidden="1" outlineLevel="1">
      <c r="A15" s="30"/>
      <c r="B15" s="45" t="str">
        <f xml:space="preserve"> _xll.EPMOlapMemberO("[ACCOUNT].[PARENTH1].[303632]","","303632 - Sales Disc Mach","","000")</f>
        <v>303632 - Sales Disc Mach</v>
      </c>
      <c r="D15">
        <v>-1225407.43</v>
      </c>
      <c r="E15">
        <v>-2911109.5</v>
      </c>
      <c r="F15">
        <v>-11742605.119999999</v>
      </c>
      <c r="G15">
        <v>-1454617.21</v>
      </c>
      <c r="H15">
        <v>-9355096.75</v>
      </c>
      <c r="I15">
        <v>-11652158.43</v>
      </c>
      <c r="J15">
        <v>-2217816.66</v>
      </c>
      <c r="K15">
        <v>-2086082.86</v>
      </c>
      <c r="L15">
        <v>-9655239.0899999999</v>
      </c>
      <c r="M15">
        <v>-1347122.27</v>
      </c>
      <c r="N15">
        <v>-5200322.1100000003</v>
      </c>
      <c r="O15">
        <v>-19982703.010000002</v>
      </c>
      <c r="P15">
        <v>-1975313.76</v>
      </c>
      <c r="Q15">
        <v>-7616247.4900000002</v>
      </c>
      <c r="R15">
        <v>-11649874.08</v>
      </c>
      <c r="S15">
        <v>-3207822.41</v>
      </c>
      <c r="T15">
        <v>-3880589.78</v>
      </c>
      <c r="U15">
        <v>-15764361.85</v>
      </c>
      <c r="V15">
        <v>-2465293.54</v>
      </c>
      <c r="W15">
        <v>-4257204.01</v>
      </c>
      <c r="X15">
        <v>-10654204.279999999</v>
      </c>
      <c r="Y15">
        <v>-5929082.1500000004</v>
      </c>
      <c r="Z15">
        <v>-5887391.9100000001</v>
      </c>
      <c r="AA15">
        <v>-25812214.670000002</v>
      </c>
      <c r="AB15">
        <v>-2574764.9900000002</v>
      </c>
      <c r="AC15">
        <v>-3069027.9</v>
      </c>
      <c r="AD15">
        <v>-18597063.199999999</v>
      </c>
      <c r="AE15">
        <v>-2901856.53</v>
      </c>
      <c r="AF15">
        <v>-6646994.2999999998</v>
      </c>
      <c r="AG15">
        <v>-17184096.32</v>
      </c>
      <c r="AH15">
        <v>-3626089.49</v>
      </c>
      <c r="AI15">
        <v>-6375982.2699999996</v>
      </c>
      <c r="AJ15">
        <v>-16513317.939999999</v>
      </c>
      <c r="AK15">
        <v>-7462117.4299999997</v>
      </c>
      <c r="AL15">
        <v>-8402360.8300000001</v>
      </c>
      <c r="BU15" s="34"/>
    </row>
    <row r="16" spans="1:73" hidden="1" outlineLevel="1">
      <c r="A16" s="30"/>
      <c r="B16" s="45" t="str">
        <f xml:space="preserve"> _xll.EPMOlapMemberO("[ACCOUNT].[PARENTH1].[303634]","","303634 - Disc Dfrd Int Mach","","000")</f>
        <v>303634 - Disc Dfrd Int Mach</v>
      </c>
      <c r="D16">
        <v>-11332.97</v>
      </c>
      <c r="F16">
        <v>-50126.36</v>
      </c>
      <c r="G16">
        <v>-7663.52</v>
      </c>
      <c r="H16">
        <v>-913485.28</v>
      </c>
      <c r="I16">
        <v>-140372.22</v>
      </c>
      <c r="J16">
        <v>-4204.1499999999996</v>
      </c>
      <c r="K16">
        <v>-94819.82</v>
      </c>
      <c r="L16">
        <v>-297605.7</v>
      </c>
      <c r="M16">
        <v>16364.3</v>
      </c>
      <c r="N16">
        <v>-7386.17</v>
      </c>
      <c r="O16">
        <v>52989.39</v>
      </c>
      <c r="P16">
        <v>-30878.23</v>
      </c>
      <c r="Q16">
        <v>-1245884.54</v>
      </c>
      <c r="R16">
        <v>-21097.4</v>
      </c>
      <c r="X16">
        <v>8870.4</v>
      </c>
      <c r="AD16">
        <v>2641.72</v>
      </c>
      <c r="AF16">
        <v>5428.32</v>
      </c>
      <c r="AK16">
        <v>3940</v>
      </c>
      <c r="BU16" s="34"/>
    </row>
    <row r="17" spans="1:73" hidden="1" outlineLevel="1">
      <c r="A17" s="30"/>
      <c r="B17" s="45" t="str">
        <f xml:space="preserve"> _xll.EPMOlapMemberO("[ACCOUNT].[PARENTH1].[303637]","","303637 - Cash Discount","","000")</f>
        <v>303637 - Cash Discount</v>
      </c>
      <c r="D17" s="35">
        <v>157710.57999999999</v>
      </c>
      <c r="E17" s="35">
        <v>-104223.57</v>
      </c>
      <c r="F17" s="35">
        <v>-584688.81000000006</v>
      </c>
      <c r="G17" s="35">
        <v>179886.89</v>
      </c>
      <c r="H17" s="35">
        <v>-45975.040000000001</v>
      </c>
      <c r="I17" s="35">
        <v>-296809.34000000003</v>
      </c>
      <c r="J17" s="35">
        <v>-78932.800000000003</v>
      </c>
      <c r="K17" s="35">
        <v>-37094.239999999998</v>
      </c>
      <c r="L17" s="35">
        <v>-189919.6</v>
      </c>
      <c r="M17" s="35">
        <v>40376.33</v>
      </c>
      <c r="N17" s="35">
        <v>-58396.84</v>
      </c>
      <c r="O17" s="35">
        <v>-169460.86</v>
      </c>
      <c r="P17" s="35">
        <v>-68911.95</v>
      </c>
      <c r="Q17" s="35">
        <v>-3924.3</v>
      </c>
      <c r="R17" s="35">
        <v>-72296.789999999994</v>
      </c>
      <c r="S17" s="35">
        <v>-11071.65</v>
      </c>
      <c r="T17" s="35">
        <v>-52559.33</v>
      </c>
      <c r="U17" s="35">
        <v>-70401.7</v>
      </c>
      <c r="V17" s="35">
        <v>-4534.28</v>
      </c>
      <c r="W17" s="35">
        <v>-61193.04</v>
      </c>
      <c r="X17" s="35">
        <v>-81795.149999999994</v>
      </c>
      <c r="Y17" s="35">
        <v>-39015.629999999997</v>
      </c>
      <c r="Z17" s="35">
        <v>22503.35</v>
      </c>
      <c r="AA17" s="35">
        <v>-47381.5</v>
      </c>
      <c r="AB17" s="35">
        <v>19998.060000000001</v>
      </c>
      <c r="AC17" s="35">
        <v>-33861.51</v>
      </c>
      <c r="AD17" s="35">
        <v>-96683.4</v>
      </c>
      <c r="AE17" s="35">
        <v>67726.25</v>
      </c>
      <c r="AF17" s="35">
        <v>-97015.039999999994</v>
      </c>
      <c r="AG17" s="35">
        <v>-11168.9</v>
      </c>
      <c r="AH17" s="35">
        <v>-37123.97</v>
      </c>
      <c r="AI17" s="35">
        <v>-49666.83</v>
      </c>
      <c r="AJ17" s="35">
        <v>20006.150000000001</v>
      </c>
      <c r="AK17" s="35">
        <v>3608.9</v>
      </c>
      <c r="AL17" s="35">
        <v>-47656.72</v>
      </c>
      <c r="AM17" s="7" t="e">
        <f>#REF!+#REF!+#REF!+#REF!+#REF!+#REF!+#REF!</f>
        <v>#REF!</v>
      </c>
      <c r="AN17" s="7" t="e">
        <f>#REF!+#REF!+#REF!+#REF!+#REF!+#REF!+#REF!</f>
        <v>#REF!</v>
      </c>
      <c r="AO17" s="7" t="e">
        <f>#REF!+#REF!+#REF!+#REF!+#REF!+#REF!+#REF!</f>
        <v>#REF!</v>
      </c>
      <c r="AP17" s="7" t="e">
        <f>#REF!+#REF!+#REF!+#REF!+#REF!+#REF!+#REF!</f>
        <v>#REF!</v>
      </c>
      <c r="AQ17" s="7" t="e">
        <f>#REF!+#REF!+#REF!+#REF!+#REF!+#REF!+#REF!</f>
        <v>#REF!</v>
      </c>
      <c r="AR17" s="7"/>
      <c r="BU17" s="34"/>
    </row>
    <row r="18" spans="1:73" hidden="1" outlineLevel="1">
      <c r="A18" s="30"/>
      <c r="B18" s="45" t="str">
        <f xml:space="preserve"> _xll.EPMOlapMemberO("[ACCOUNT].[PARENTH1].[303641]","","303641 - Machine Concession","","000")</f>
        <v>303641 - Machine Concession</v>
      </c>
      <c r="D18" s="35"/>
      <c r="E18" s="35"/>
      <c r="F18" s="35"/>
      <c r="G18" s="35">
        <v>-17142.38</v>
      </c>
      <c r="H18" s="35"/>
      <c r="I18" s="35"/>
      <c r="J18" s="35"/>
      <c r="K18" s="35">
        <v>-120262.59</v>
      </c>
      <c r="L18" s="35"/>
      <c r="M18" s="35"/>
      <c r="N18" s="35"/>
      <c r="O18" s="35">
        <v>-463</v>
      </c>
      <c r="P18" s="35"/>
      <c r="Q18" s="35">
        <v>-100000</v>
      </c>
      <c r="R18" s="35"/>
      <c r="S18" s="35"/>
      <c r="T18" s="35"/>
      <c r="U18" s="35"/>
      <c r="V18" s="35">
        <v>-78125</v>
      </c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7" t="e">
        <f>#REF!</f>
        <v>#REF!</v>
      </c>
      <c r="AN18" s="7" t="e">
        <f>#REF!</f>
        <v>#REF!</v>
      </c>
      <c r="AO18" s="7" t="e">
        <f>#REF!</f>
        <v>#REF!</v>
      </c>
      <c r="AP18" s="7" t="e">
        <f>#REF!</f>
        <v>#REF!</v>
      </c>
      <c r="AQ18" s="7" t="e">
        <f>#REF!</f>
        <v>#REF!</v>
      </c>
      <c r="AR18" s="7"/>
      <c r="BU18" s="34"/>
    </row>
    <row r="19" spans="1:73" hidden="1" outlineLevel="1">
      <c r="A19" s="30"/>
      <c r="B19" s="45" t="str">
        <f xml:space="preserve"> _xll.EPMOlapMemberO("[ACCOUNT].[PARENTH1].[303644]","","303644 - Parts Coupon Discount New","","000")</f>
        <v>303644 - Parts Coupon Discount New</v>
      </c>
      <c r="D19" s="35">
        <v>-321983.21000000002</v>
      </c>
      <c r="E19" s="35">
        <v>-45668.93</v>
      </c>
      <c r="F19" s="35">
        <v>-121679.47</v>
      </c>
      <c r="G19" s="35">
        <v>-22564.32</v>
      </c>
      <c r="H19" s="35">
        <v>-38080</v>
      </c>
      <c r="I19" s="35">
        <v>-54942.85</v>
      </c>
      <c r="J19" s="35">
        <v>-51940.07</v>
      </c>
      <c r="K19" s="35">
        <v>-55810</v>
      </c>
      <c r="L19" s="35">
        <v>-673797.29</v>
      </c>
      <c r="M19" s="35">
        <v>-132900</v>
      </c>
      <c r="N19" s="35">
        <v>-275649.7</v>
      </c>
      <c r="O19" s="35">
        <v>-2827772.42</v>
      </c>
      <c r="P19" s="35">
        <v>-675658.93</v>
      </c>
      <c r="Q19" s="35">
        <v>-362278.81</v>
      </c>
      <c r="R19" s="35">
        <v>-791938.94</v>
      </c>
      <c r="S19" s="35">
        <v>-224071.43</v>
      </c>
      <c r="T19" s="35">
        <v>-97801.29</v>
      </c>
      <c r="U19" s="35">
        <v>-547411.82999999996</v>
      </c>
      <c r="V19" s="35">
        <v>5937.16</v>
      </c>
      <c r="W19" s="35">
        <v>-82870</v>
      </c>
      <c r="X19" s="35">
        <v>-204718.07</v>
      </c>
      <c r="Y19" s="35">
        <v>-981575.33</v>
      </c>
      <c r="Z19" s="35">
        <v>-614903.44999999995</v>
      </c>
      <c r="AA19" s="35">
        <v>-3896922.24</v>
      </c>
      <c r="AB19" s="35">
        <v>-435208.51</v>
      </c>
      <c r="AC19" s="35">
        <v>-719405</v>
      </c>
      <c r="AD19" s="35">
        <v>-605255.84</v>
      </c>
      <c r="AE19" s="35">
        <v>242850</v>
      </c>
      <c r="AF19" s="35">
        <v>-543082.19999999995</v>
      </c>
      <c r="AG19" s="35">
        <v>-472792</v>
      </c>
      <c r="AH19" s="35">
        <v>-123284.11</v>
      </c>
      <c r="AI19" s="35">
        <v>-277000</v>
      </c>
      <c r="AJ19" s="35">
        <v>-818715</v>
      </c>
      <c r="AK19" s="35">
        <v>-305688.15000000002</v>
      </c>
      <c r="AL19" s="35">
        <v>-188874.28</v>
      </c>
      <c r="AM19" s="7" t="e">
        <f>#REF!+#REF!+#REF!+#REF!+#REF!+#REF!+#REF!+#REF!+#REF!+#REF!+#REF!</f>
        <v>#REF!</v>
      </c>
      <c r="AN19" s="7" t="e">
        <f>#REF!+#REF!+#REF!+#REF!+#REF!+#REF!+#REF!+#REF!+#REF!+#REF!+#REF!</f>
        <v>#REF!</v>
      </c>
      <c r="AO19" s="7" t="e">
        <f>#REF!+#REF!+#REF!+#REF!+#REF!+#REF!+#REF!+#REF!+#REF!+#REF!+#REF!</f>
        <v>#REF!</v>
      </c>
      <c r="AP19" s="7" t="e">
        <f>#REF!+#REF!+#REF!+#REF!+#REF!+#REF!+#REF!+#REF!+#REF!+#REF!+#REF!</f>
        <v>#REF!</v>
      </c>
      <c r="AQ19" s="7" t="e">
        <f>#REF!+#REF!+#REF!+#REF!+#REF!+#REF!+#REF!+#REF!+#REF!+#REF!+#REF!</f>
        <v>#REF!</v>
      </c>
      <c r="AR19" s="7"/>
      <c r="BU19" s="34"/>
    </row>
    <row r="20" spans="1:73" hidden="1" outlineLevel="1">
      <c r="A20" s="30"/>
      <c r="B20" s="45" t="str">
        <f xml:space="preserve"> _xll.EPMOlapMemberO("[ACCOUNT].[PARENTH1].[303647]","","303647 - LTG Machine Rev","","000")</f>
        <v>303647 - LTG Machine Rev</v>
      </c>
      <c r="D20" s="35"/>
      <c r="E20" s="35"/>
      <c r="F20" s="35">
        <v>554880</v>
      </c>
      <c r="G20" s="35"/>
      <c r="H20" s="35"/>
      <c r="I20" s="35"/>
      <c r="J20" s="35"/>
      <c r="K20" s="35"/>
      <c r="L20" s="35"/>
      <c r="M20" s="35"/>
      <c r="N20" s="35"/>
      <c r="O20" s="35">
        <v>1725000</v>
      </c>
      <c r="P20" s="35"/>
      <c r="Q20" s="35"/>
      <c r="R20" s="35">
        <v>138000</v>
      </c>
      <c r="S20" s="35"/>
      <c r="T20" s="35"/>
      <c r="U20" s="35"/>
      <c r="V20" s="35">
        <v>398205</v>
      </c>
      <c r="W20" s="35">
        <v>-53205</v>
      </c>
      <c r="X20" s="35">
        <v>2421.1999999999998</v>
      </c>
      <c r="Y20" s="35"/>
      <c r="Z20" s="35">
        <v>278158.40999999997</v>
      </c>
      <c r="AA20" s="35"/>
      <c r="AB20" s="35">
        <v>-1166</v>
      </c>
      <c r="AC20" s="35"/>
      <c r="AD20" s="35">
        <v>657363.47</v>
      </c>
      <c r="AE20" s="35">
        <v>69000</v>
      </c>
      <c r="AF20" s="35">
        <v>476968</v>
      </c>
      <c r="AG20" s="35">
        <v>1196000</v>
      </c>
      <c r="AH20" s="35"/>
      <c r="AI20" s="35">
        <v>1187859.98</v>
      </c>
      <c r="AJ20" s="35">
        <v>-250</v>
      </c>
      <c r="AK20" s="35">
        <v>25929.05</v>
      </c>
      <c r="AL20" s="35">
        <v>187237.25</v>
      </c>
      <c r="AM20" s="7" t="e">
        <f>#REF!</f>
        <v>#REF!</v>
      </c>
      <c r="AN20" s="7" t="e">
        <f>#REF!</f>
        <v>#REF!</v>
      </c>
      <c r="AO20" s="7" t="e">
        <f>#REF!</f>
        <v>#REF!</v>
      </c>
      <c r="AP20" s="7" t="e">
        <f>#REF!</f>
        <v>#REF!</v>
      </c>
      <c r="AQ20" s="7" t="e">
        <f>#REF!</f>
        <v>#REF!</v>
      </c>
      <c r="AR20" s="7"/>
      <c r="BU20" s="34"/>
    </row>
    <row r="21" spans="1:73" hidden="1" outlineLevel="1">
      <c r="A21" s="30"/>
      <c r="B21" s="45" t="str">
        <f xml:space="preserve"> _xll.EPMOlapMemberO("[ACCOUNT].[PARENTH1].[303650]","","303650 - LTG Machine Discounts","","000")</f>
        <v>303650 - LTG Machine Discounts</v>
      </c>
      <c r="D21" s="35"/>
      <c r="E21" s="35"/>
      <c r="F21" s="35">
        <v>-85377.600000000006</v>
      </c>
      <c r="G21" s="35"/>
      <c r="H21" s="35"/>
      <c r="I21" s="35"/>
      <c r="J21" s="35"/>
      <c r="K21" s="35"/>
      <c r="L21" s="35"/>
      <c r="M21" s="35"/>
      <c r="N21" s="35"/>
      <c r="O21" s="35">
        <v>-750000</v>
      </c>
      <c r="P21" s="35"/>
      <c r="Q21" s="35"/>
      <c r="R21" s="35">
        <v>-56999.519999999997</v>
      </c>
      <c r="S21" s="35"/>
      <c r="T21" s="35"/>
      <c r="U21" s="35"/>
      <c r="V21" s="35"/>
      <c r="W21" s="35">
        <v>-51750</v>
      </c>
      <c r="X21" s="35">
        <v>-1.98</v>
      </c>
      <c r="Y21" s="35"/>
      <c r="Z21" s="35">
        <v>-41400</v>
      </c>
      <c r="AA21" s="35"/>
      <c r="AB21" s="35"/>
      <c r="AC21" s="35"/>
      <c r="AD21" s="35">
        <v>-131472.69</v>
      </c>
      <c r="AE21" s="35">
        <v>-14250</v>
      </c>
      <c r="AF21" s="35">
        <v>-120468</v>
      </c>
      <c r="AG21" s="35">
        <v>-386130.73</v>
      </c>
      <c r="AH21" s="35"/>
      <c r="AI21" s="35">
        <v>-340599.98</v>
      </c>
      <c r="AJ21" s="35"/>
      <c r="AK21" s="35"/>
      <c r="AL21" s="35">
        <v>-38778</v>
      </c>
      <c r="AM21" s="7" t="e">
        <f t="shared" ref="D21:AQ42" si="0">SUM(AM17:AM20)</f>
        <v>#REF!</v>
      </c>
      <c r="AN21" s="7" t="e">
        <f t="shared" si="0"/>
        <v>#REF!</v>
      </c>
      <c r="AO21" s="7" t="e">
        <f>SUM(AO17:AO20)</f>
        <v>#REF!</v>
      </c>
      <c r="AP21" s="7" t="e">
        <f t="shared" si="0"/>
        <v>#REF!</v>
      </c>
      <c r="AQ21" s="7" t="e">
        <f t="shared" si="0"/>
        <v>#REF!</v>
      </c>
      <c r="AR21" s="7"/>
      <c r="BU21" s="34"/>
    </row>
    <row r="22" spans="1:73" hidden="1" outlineLevel="1">
      <c r="A22" s="30"/>
      <c r="B22" s="45" t="str">
        <f xml:space="preserve"> _xll.EPMOlapMemberO("[ACCOUNT].[PARENTH1].[303662]","","303662 - Machine Contra Revenue","","000")</f>
        <v>303662 - Machine Contra Revenue</v>
      </c>
      <c r="E22">
        <v>-2369720</v>
      </c>
      <c r="F22">
        <v>2369720</v>
      </c>
      <c r="BU22" s="34"/>
    </row>
    <row r="23" spans="1:73" hidden="1" outlineLevel="1">
      <c r="A23" s="30"/>
      <c r="B23" s="45" t="str">
        <f xml:space="preserve"> _xll.EPMOlapMemberO("[ACCOUNT].[PARENTH1].[303663]","","303663 - Contra Machine Discount Model","","000")</f>
        <v>303663 - Contra Machine Discount Model</v>
      </c>
      <c r="E23">
        <v>353820.66</v>
      </c>
      <c r="F23">
        <v>-353820.66</v>
      </c>
      <c r="BU23" s="34"/>
    </row>
    <row r="24" spans="1:73" hidden="1" outlineLevel="1">
      <c r="A24" s="30"/>
      <c r="B24" s="45" t="str">
        <f xml:space="preserve"> _xll.EPMOlapMemberO("[ACCOUNT].[PARENTH1].[303653]","","303653 - Sales Disc USED Machines","","000")</f>
        <v>303653 - Sales Disc USED Machines</v>
      </c>
      <c r="D24">
        <v>-349860.2</v>
      </c>
      <c r="E24">
        <v>-171999.3</v>
      </c>
      <c r="F24">
        <v>-993934.73</v>
      </c>
      <c r="G24">
        <v>-146716.91</v>
      </c>
      <c r="H24">
        <v>-800799.99</v>
      </c>
      <c r="I24">
        <v>-3217869.6</v>
      </c>
      <c r="J24">
        <v>-65500</v>
      </c>
      <c r="K24">
        <v>-1799488.72</v>
      </c>
      <c r="L24">
        <v>-2224851.62</v>
      </c>
      <c r="M24">
        <v>-2986728.86</v>
      </c>
      <c r="N24">
        <v>-535071.34</v>
      </c>
      <c r="O24">
        <v>-1058178.58</v>
      </c>
      <c r="P24">
        <v>-161610.84</v>
      </c>
      <c r="Q24">
        <v>-285231.65999999997</v>
      </c>
      <c r="R24">
        <v>-511905.85</v>
      </c>
      <c r="S24">
        <v>-202441.36</v>
      </c>
      <c r="T24">
        <v>-829712.9</v>
      </c>
      <c r="U24">
        <v>-1093080.81</v>
      </c>
      <c r="V24">
        <v>-265135</v>
      </c>
      <c r="W24">
        <v>-673793.43</v>
      </c>
      <c r="X24">
        <v>-2458156.87</v>
      </c>
      <c r="Y24">
        <v>-600308.93999999994</v>
      </c>
      <c r="Z24">
        <v>-469627</v>
      </c>
      <c r="AA24">
        <v>-1524011.48</v>
      </c>
      <c r="AB24">
        <v>-183423.66</v>
      </c>
      <c r="AC24">
        <v>-41537</v>
      </c>
      <c r="AD24">
        <v>-463216.53</v>
      </c>
      <c r="AE24">
        <v>-183671.6</v>
      </c>
      <c r="AF24">
        <v>-261905.86</v>
      </c>
      <c r="AG24">
        <v>-617641.69999999995</v>
      </c>
      <c r="AH24">
        <v>-198851.24</v>
      </c>
      <c r="AI24">
        <v>-113598.37</v>
      </c>
      <c r="AJ24">
        <v>-1007068.04</v>
      </c>
      <c r="AK24">
        <v>-163081.5</v>
      </c>
      <c r="AL24">
        <v>-428636.7</v>
      </c>
      <c r="BU24" s="34"/>
    </row>
    <row r="25" spans="1:73" hidden="1" outlineLevel="1">
      <c r="A25" s="30"/>
      <c r="B25" s="45" t="str">
        <f xml:space="preserve"> _xll.EPMOlapMemberO("[VERSION].[PARENTH1].[ACTUAL]","","ACTUAL - Actual","","001")</f>
        <v>ACTUAL - Actual</v>
      </c>
      <c r="H25">
        <v>-72995.37</v>
      </c>
      <c r="M25">
        <v>-5762.76</v>
      </c>
      <c r="P25">
        <v>-11297.72</v>
      </c>
      <c r="Q25">
        <v>-5624.48</v>
      </c>
      <c r="BU25" s="34"/>
    </row>
    <row r="26" spans="1:73" hidden="1" outlineLevel="1">
      <c r="A26" s="30"/>
      <c r="B26" s="45" t="str">
        <f xml:space="preserve"> _xll.EPMOlapMemberO("[PROFITCENTER].[PARENTH1].[01NAMGMINT01]","","North America Gaming","","001")</f>
        <v>North America Gaming</v>
      </c>
      <c r="O26">
        <v>-200.56</v>
      </c>
      <c r="BU26" s="34"/>
    </row>
    <row r="27" spans="1:73" hidden="1" outlineLevel="1">
      <c r="A27" s="30"/>
      <c r="B27" s="45" t="str">
        <f>_xll.FPMXLClient.TechnicalCategory.EPMOlapMultiMember("T_SOLD_GAM - Gaming Machines Sold,EGM_PS_DEFERRED - Slot Machines Deferred,CNTRU - Contrad Units","001","[GAME].[PARENTH1].[T_SOLD_GAM]","[GAME].[PARENTH1].[EGM_PS_DEFERRED]","[GAME].[PARENTH1].[CNTRU]")</f>
        <v>T_SOLD_GAM - Gaming Machines Sold,EGM_PS_DEFERRED - Slot Machines Deferred,CNTRU - Contrad Units</v>
      </c>
      <c r="O27">
        <v>-284997.59999999998</v>
      </c>
      <c r="P27">
        <v>56999.519999999997</v>
      </c>
      <c r="S27">
        <v>0</v>
      </c>
      <c r="V27">
        <v>-170998.56</v>
      </c>
      <c r="BU27" s="34"/>
    </row>
    <row r="28" spans="1:73" hidden="1" outlineLevel="1">
      <c r="A28" s="30"/>
      <c r="B28" s="45" t="str">
        <f xml:space="preserve"> _xll.EPMOlapMemberO("[ACCOUNT].[PARENTH1].[303848]","","303848 - NRV Used Discount Contra","","000")</f>
        <v>303848 - NRV Used Discount Contra</v>
      </c>
      <c r="D28">
        <v>50755.53</v>
      </c>
      <c r="E28">
        <v>251730.14</v>
      </c>
      <c r="F28">
        <v>4522.6499999999996</v>
      </c>
      <c r="G28">
        <v>872107.09</v>
      </c>
      <c r="H28">
        <v>363376.33</v>
      </c>
      <c r="I28">
        <v>99521.23</v>
      </c>
      <c r="J28">
        <v>218144</v>
      </c>
      <c r="K28">
        <v>4501.58</v>
      </c>
      <c r="L28">
        <v>67389.119999999995</v>
      </c>
      <c r="M28">
        <v>76504.09</v>
      </c>
      <c r="N28">
        <v>137105.99</v>
      </c>
      <c r="O28">
        <v>35171.32</v>
      </c>
      <c r="P28">
        <v>51281.89</v>
      </c>
      <c r="Q28">
        <v>23173.1</v>
      </c>
      <c r="R28">
        <v>71800.100000000006</v>
      </c>
      <c r="S28">
        <v>34688.01</v>
      </c>
      <c r="T28">
        <v>30122.98</v>
      </c>
      <c r="U28">
        <v>40701.800000000003</v>
      </c>
      <c r="V28">
        <v>55581.67</v>
      </c>
      <c r="W28">
        <v>35318.97</v>
      </c>
      <c r="X28">
        <v>111613.09</v>
      </c>
      <c r="Y28">
        <v>157519.99</v>
      </c>
      <c r="Z28">
        <v>26601.39</v>
      </c>
      <c r="AA28">
        <v>160635.57999999999</v>
      </c>
      <c r="AB28">
        <v>33568.39</v>
      </c>
      <c r="AC28">
        <v>64333.86</v>
      </c>
      <c r="AD28">
        <v>0.94</v>
      </c>
      <c r="AE28">
        <v>17732.86</v>
      </c>
      <c r="AF28">
        <v>41929.370000000003</v>
      </c>
      <c r="AG28">
        <v>24937.439999999999</v>
      </c>
      <c r="AL28">
        <v>38446.080000000002</v>
      </c>
      <c r="BU28" s="34"/>
    </row>
    <row r="29" spans="1:73" hidden="1" outlineLevel="1">
      <c r="A29" s="30"/>
      <c r="B29" s="45" t="str">
        <f xml:space="preserve"> _xll.EPMOlapMemberO("[ACCOUNT].[PARENTH1].[303850]","","303850 - Terminals - Used - GAM","","000")</f>
        <v>303850 - Terminals - Used - GAM</v>
      </c>
      <c r="D29">
        <v>384438</v>
      </c>
      <c r="AM29" t="str">
        <f xml:space="preserve"> _xll.EPMOlapMemberO("[TIME].[PARENTH1].[2017.FEB]","","2017.FEB - Feb-17","","001")</f>
        <v>2017.FEB - Feb-17</v>
      </c>
      <c r="AN29" t="str">
        <f xml:space="preserve"> _xll.EPMOlapMemberO("[TIME].[PARENTH1].[2017.MAR]","","2017.MAR - Mar-17","","001")</f>
        <v>2017.MAR - Mar-17</v>
      </c>
      <c r="AO29" t="str">
        <f xml:space="preserve"> _xll.EPMOlapMemberO("[TIME].[PARENTH1].[2017.APR]","","2017.APR - Apr-17","","001")</f>
        <v>2017.APR - Apr-17</v>
      </c>
      <c r="AP29" t="str">
        <f xml:space="preserve"> _xll.EPMOlapMemberO("[TIME].[PARENTH1].[2017.MAY]","","2017.MAY - May-17","","001")</f>
        <v>2017.MAY - May-17</v>
      </c>
      <c r="AQ29" t="str">
        <f xml:space="preserve"> _xll.EPMOlapMemberO("[TIME].[PARENTH1].[2017.JUN]","","2017.JUN - Jun-17","","001")</f>
        <v>2017.JUN - Jun-17</v>
      </c>
      <c r="AR29" t="str">
        <f xml:space="preserve"> _xll.EPMOlapMemberO("[TIME].[PARENTH1].[2017.JUL]","","2017.JUL - Jul-17","","001")</f>
        <v>2017.JUL - Jul-17</v>
      </c>
      <c r="AS29" t="str">
        <f xml:space="preserve"> _xll.EPMOlapMemberO("[TIME].[PARENTH1].[2017.AUG]","","2017.AUG - Aug-17","","001")</f>
        <v>2017.AUG - Aug-17</v>
      </c>
      <c r="AT29" t="str">
        <f xml:space="preserve"> _xll.EPMOlapMemberO("[TIME].[PARENTH1].[2017.SEP]","","2017.SEP - Sep-17","","001")</f>
        <v>2017.SEP - Sep-17</v>
      </c>
      <c r="AU29" t="str">
        <f xml:space="preserve"> _xll.EPMOlapMemberO("[TIME].[PARENTH1].[2017.OCT]","","2017.OCT - Oct-17","","001")</f>
        <v>2017.OCT - Oct-17</v>
      </c>
      <c r="AV29" t="str">
        <f xml:space="preserve"> _xll.EPMOlapMemberO("[TIME].[PARENTH1].[2017.NOV]","","2017.NOV - Nov-17","","001")</f>
        <v>2017.NOV - Nov-17</v>
      </c>
      <c r="AW29" t="str">
        <f xml:space="preserve"> _xll.EPMOlapMemberO("[TIME].[PARENTH1].[2017.DEC]","","2017.DEC - Dec-17","","001")</f>
        <v>2017.DEC - Dec-17</v>
      </c>
      <c r="AX29" t="str">
        <f xml:space="preserve"> _xll.EPMOlapMemberO("[TIME].[PARENTH1].[2018.JAN]","","2018.JAN - Jan-18","","001")</f>
        <v>2018.JAN - Jan-18</v>
      </c>
      <c r="AY29" t="str">
        <f xml:space="preserve"> _xll.EPMOlapMemberO("[TIME].[PARENTH1].[2018.FEB]","","2018.FEB - Feb-18","","001")</f>
        <v>2018.FEB - Feb-18</v>
      </c>
      <c r="AZ29" t="str">
        <f xml:space="preserve"> _xll.EPMOlapMemberO("[TIME].[PARENTH1].[2018.MAR]","","2018.MAR - Mar-18","","001")</f>
        <v>2018.MAR - Mar-18</v>
      </c>
      <c r="BA29" t="str">
        <f xml:space="preserve"> _xll.EPMOlapMemberO("[TIME].[PARENTH1].[2018.APR]","","2018.APR - Apr-18","","001")</f>
        <v>2018.APR - Apr-18</v>
      </c>
      <c r="BB29" t="str">
        <f xml:space="preserve"> _xll.EPMOlapMemberO("[TIME].[PARENTH1].[2018.MAY]","","2018.MAY - May-18","","001")</f>
        <v>2018.MAY - May-18</v>
      </c>
      <c r="BC29" t="str">
        <f xml:space="preserve"> _xll.EPMOlapMemberO("[TIME].[PARENTH1].[2018.JUN]","","2018.JUN - Jun-18","","001")</f>
        <v>2018.JUN - Jun-18</v>
      </c>
      <c r="BD29" t="str">
        <f xml:space="preserve"> _xll.EPMOlapMemberO("[TIME].[PARENTH1].[2018.JUL]","","2018.JUL - Jul-18","","001")</f>
        <v>2018.JUL - Jul-18</v>
      </c>
      <c r="BE29" t="str">
        <f xml:space="preserve"> _xll.EPMOlapMemberO("[TIME].[PARENTH1].[2018.AUG]","","2018.AUG - Aug-18","","001")</f>
        <v>2018.AUG - Aug-18</v>
      </c>
      <c r="BF29" t="str">
        <f xml:space="preserve"> _xll.EPMOlapMemberO("[TIME].[PARENTH1].[2018.SEP]","","2018.SEP - Sep-18","","001")</f>
        <v>2018.SEP - Sep-18</v>
      </c>
      <c r="BG29" t="str">
        <f xml:space="preserve"> _xll.EPMOlapMemberO("[TIME].[PARENTH1].[2018.OCT]","","2018.OCT - Oct-18","","001")</f>
        <v>2018.OCT - Oct-18</v>
      </c>
      <c r="BH29" t="str">
        <f xml:space="preserve"> _xll.EPMOlapMemberO("[TIME].[PARENTH1].[2018.NOV]","","2018.NOV - Nov-18","","001")</f>
        <v>2018.NOV - Nov-18</v>
      </c>
      <c r="BI29" t="str">
        <f xml:space="preserve"> _xll.EPMOlapMemberO("[TIME].[PARENTH1].[2018.DEC]","","2018.DEC - Dec-18","","001")</f>
        <v>2018.DEC - Dec-18</v>
      </c>
      <c r="BJ29" t="str">
        <f xml:space="preserve"> _xll.EPMOlapMemberO("[TIME].[PARENTH1].[2019.JAN]","","2019.JAN - Jan-19","","001")</f>
        <v>2019.JAN - Jan-19</v>
      </c>
      <c r="BK29" t="str">
        <f xml:space="preserve"> _xll.EPMOlapMemberO("[TIME].[PARENTH1].[2019.FEB]","","2019.FEB - Feb-19","","001")</f>
        <v>2019.FEB - Feb-19</v>
      </c>
      <c r="BL29" t="str">
        <f xml:space="preserve"> _xll.EPMOlapMemberO("[TIME].[PARENTH1].[2019.MAR]","","2019.MAR - Mar-19","","001")</f>
        <v>2019.MAR - Mar-19</v>
      </c>
      <c r="BM29" t="str">
        <f xml:space="preserve"> _xll.EPMOlapMemberO("[TIME].[PARENTH1].[2019.APR]","","2019.APR - Apr-19","","001")</f>
        <v>2019.APR - Apr-19</v>
      </c>
      <c r="BN29" t="str">
        <f xml:space="preserve"> _xll.EPMOlapMemberO("[TIME].[PARENTH1].[2019.MAY]","","2019.MAY - May-19","","001")</f>
        <v>2019.MAY - May-19</v>
      </c>
      <c r="BO29" t="str">
        <f xml:space="preserve"> _xll.EPMOlapMemberO("[TIME].[PARENTH1].[2019.JUN]","","2019.JUN - Jun-19","","001")</f>
        <v>2019.JUN - Jun-19</v>
      </c>
      <c r="BP29" t="str">
        <f xml:space="preserve"> _xll.EPMOlapMemberO("[TIME].[PARENTH1].[2019.JUL]","","2019.JUL - Jul-19","","001")</f>
        <v>2019.JUL - Jul-19</v>
      </c>
      <c r="BQ29" t="str">
        <f xml:space="preserve"> _xll.EPMOlapMemberO("[TIME].[PARENTH1].[2019.AUG]","","2019.AUG - Aug-19","","001")</f>
        <v>2019.AUG - Aug-19</v>
      </c>
      <c r="BR29" t="str">
        <f xml:space="preserve"> _xll.EPMOlapMemberO("[TIME].[PARENTH1].[2019.SEP]","","2019.SEP - Sep-19","","001")</f>
        <v>2019.SEP - Sep-19</v>
      </c>
      <c r="BS29" t="str">
        <f xml:space="preserve"> _xll.EPMOlapMemberO("[TIME].[PARENTH1].[2019.OCT]","","2019.OCT - Oct-19","","001")</f>
        <v>2019.OCT - Oct-19</v>
      </c>
      <c r="BT29" t="str">
        <f xml:space="preserve"> _xll.EPMOlapMemberO("[TIME].[PARENTH1].[2019.NOV]","","2019.NOV - Nov-19","","001")</f>
        <v>2019.NOV - Nov-19</v>
      </c>
      <c r="BU29" s="34"/>
    </row>
    <row r="30" spans="1:73" hidden="1" outlineLevel="1">
      <c r="B30" s="45" t="str">
        <f xml:space="preserve"> _xll.EPMOlapMemberO("[ACCOUNT].[PARENTH1].[303861]","","303861 - ETG Used Revenue","","000")</f>
        <v>303861 - ETG Used Revenue</v>
      </c>
      <c r="D30" s="31"/>
      <c r="AM30" s="31">
        <v>669</v>
      </c>
      <c r="AN30" s="31">
        <v>2925</v>
      </c>
      <c r="AO30" s="31">
        <v>436</v>
      </c>
      <c r="AP30" s="31">
        <v>1877</v>
      </c>
      <c r="AQ30" s="31">
        <v>2980</v>
      </c>
      <c r="AR30" s="31">
        <v>714</v>
      </c>
      <c r="AS30" s="31">
        <v>772</v>
      </c>
      <c r="AT30" s="31">
        <v>2116</v>
      </c>
      <c r="AU30" s="31">
        <v>475</v>
      </c>
      <c r="AV30" s="31">
        <v>1240</v>
      </c>
      <c r="AW30" s="31">
        <v>3580</v>
      </c>
      <c r="AX30" s="31">
        <v>464</v>
      </c>
      <c r="AY30" s="31">
        <v>1112</v>
      </c>
      <c r="AZ30" s="31">
        <v>2150</v>
      </c>
      <c r="BA30" s="31">
        <v>495</v>
      </c>
      <c r="BB30" s="31">
        <v>1063</v>
      </c>
      <c r="BC30" s="31">
        <v>2992</v>
      </c>
      <c r="BD30" s="31">
        <v>522</v>
      </c>
      <c r="BE30" s="31">
        <v>808</v>
      </c>
      <c r="BF30" s="31">
        <v>2511</v>
      </c>
      <c r="BG30" s="31">
        <v>1026</v>
      </c>
      <c r="BH30" s="31">
        <v>1111</v>
      </c>
      <c r="BI30" s="31">
        <v>4595</v>
      </c>
      <c r="BJ30" s="31">
        <v>526</v>
      </c>
      <c r="BK30" s="31">
        <v>592</v>
      </c>
      <c r="BL30" s="31">
        <v>2908</v>
      </c>
      <c r="BM30" s="31">
        <v>596</v>
      </c>
      <c r="BN30" s="31">
        <v>1183</v>
      </c>
      <c r="BO30" s="31">
        <v>2882</v>
      </c>
      <c r="BP30" s="31">
        <v>721</v>
      </c>
      <c r="BQ30" s="31">
        <v>1226</v>
      </c>
      <c r="BR30" s="31">
        <v>2994</v>
      </c>
      <c r="BS30" s="31">
        <v>485</v>
      </c>
      <c r="BT30" s="31">
        <v>1434</v>
      </c>
      <c r="BU30" s="34"/>
    </row>
    <row r="31" spans="1:73" hidden="1" outlineLevel="1">
      <c r="B31" s="45" t="str">
        <f xml:space="preserve"> _xll.EPMOlapMemberO("[ACCOUNT].[PARENTH1].[303819]","","303819 - Deferred Revenue - Terminals - GAM","","000")</f>
        <v>303819 - Deferred Revenue - Terminals - GAM</v>
      </c>
      <c r="BU31" s="34"/>
    </row>
    <row r="32" spans="1:73" hidden="1" outlineLevel="1">
      <c r="B32" s="45" t="str">
        <f xml:space="preserve"> _xll.EPMOlapMemberO("[ACCOUNT].[PARENTH1].[303841]","","303841 - New Machines Discounts Deferred","","000")</f>
        <v>303841 - New Machines Discounts Deferred</v>
      </c>
      <c r="BU32" s="34"/>
    </row>
    <row r="33" spans="2:73" hidden="1" outlineLevel="1">
      <c r="B33" s="45" t="str">
        <f xml:space="preserve"> _xll.EPMOlapMemberO("[ACCOUNT].[PARENTH1].[303845]","","303845 - Deferred Terminal Sale Recognized - GAM","","000")</f>
        <v>303845 - Deferred Terminal Sale Recognized - GAM</v>
      </c>
      <c r="BU33" s="34"/>
    </row>
    <row r="34" spans="2:73">
      <c r="B34" s="30" t="str">
        <f xml:space="preserve"> _xll.EPMOlapMemberO("[ACCOUNT].[PARENTH1].[RPTERMGAM]","","RPTERMGAM - Terminal Sales Gaming","","000")</f>
        <v>RPTERMGAM - Terminal Sales Gaming</v>
      </c>
      <c r="D34">
        <v>4045484.35</v>
      </c>
      <c r="BU34" s="34"/>
    </row>
    <row r="35" spans="2:73">
      <c r="B35" s="30" t="str">
        <f xml:space="preserve"> _xll.EPMOlapMemberO("[ACCOUNT].[PARENTH1].[ETERMCOSGM]","","ETERMCOSGM - Terminal Cost of Sales Gaming","","002")</f>
        <v>ETERMCOSGM - Terminal Cost of Sales Gaming</v>
      </c>
    </row>
    <row r="36" spans="2:73">
      <c r="B36" s="30" t="str">
        <f xml:space="preserve"> _xll.EPMOlapMemberO("[VERSION].[PARENTH1].[ACTUAL]","","Actual","","002")</f>
        <v>Actual</v>
      </c>
    </row>
    <row r="37" spans="2:73">
      <c r="B37" s="30"/>
    </row>
    <row r="38" spans="2:73">
      <c r="B38" s="32" t="str">
        <f xml:space="preserve"> _xll.EPMOlapMemberO("[GAME].[PARENTH1].[ALL_GAME]","","ALL_GAME - All Games","","002")</f>
        <v>ALL_GAME - All Games</v>
      </c>
      <c r="D38" s="7" t="e">
        <f>#REF!+#REF!+#REF!+#REF!+#REF!+#REF!+#REF!</f>
        <v>#REF!</v>
      </c>
    </row>
    <row r="39" spans="2:73">
      <c r="B39" s="32" t="str">
        <f xml:space="preserve"> _xll.EPMOlapMemberO("[FUNCTIONALAREA].[PARENTH1].[PROD]","","PROD - Product","","002")</f>
        <v>PROD - Product</v>
      </c>
      <c r="D39" s="7" t="e">
        <f>#REF!</f>
        <v>#REF!</v>
      </c>
    </row>
    <row r="40" spans="2:73">
      <c r="B40" s="32" t="s">
        <v>22</v>
      </c>
      <c r="D40" s="7" t="e">
        <f>#REF!+#REF!+#REF!+#REF!+#REF!+#REF!+#REF!+#REF!+#REF!+#REF!+#REF!</f>
        <v>#REF!</v>
      </c>
    </row>
    <row r="41" spans="2:73">
      <c r="B41" s="32" t="s">
        <v>23</v>
      </c>
      <c r="D41" s="7" t="e">
        <f>#REF!</f>
        <v>#REF!</v>
      </c>
    </row>
    <row r="42" spans="2:73">
      <c r="B42" s="32" t="s">
        <v>24</v>
      </c>
      <c r="D42" s="7" t="e">
        <f t="shared" si="0"/>
        <v>#REF!</v>
      </c>
    </row>
    <row r="43" spans="2:73">
      <c r="B43" s="30"/>
    </row>
    <row r="44" spans="2:73">
      <c r="C44" s="7" t="e">
        <f>SUM(#REF!)</f>
        <v>#REF!</v>
      </c>
    </row>
    <row r="45" spans="2:73">
      <c r="B45" s="30"/>
    </row>
    <row r="46" spans="2:73">
      <c r="B46" s="30" t="str">
        <f xml:space="preserve"> _xll.EPMOlapMemberO("[VERSION].[PARENTH1].[ACTUAL]","","ACTUAL - Actual","","001")</f>
        <v>ACTUAL - Actual</v>
      </c>
    </row>
    <row r="47" spans="2:73">
      <c r="B47" t="str">
        <f xml:space="preserve"> _xll.EPMOlapMemberO("[PROFITCENTER].[PARENTH1].[01NAMGMINT01]","","North America Gaming","","001")</f>
        <v>North America Gaming</v>
      </c>
      <c r="C47" s="30" t="s">
        <v>47</v>
      </c>
    </row>
    <row r="48" spans="2:73">
      <c r="B48" t="str">
        <f>_xll.FPMXLClient.TechnicalCategory.EPMOlapMultiMember("T_SOLD_GAM - Gaming Machines Sold,EGM_PS_DEFERRED - Slot Machines Deferred,CNTRU - Contrad Units","001","[GAME].[PARENTH1].[T_SOLD_GAM]","[GAME].[PARENTH1].[EGM_PS_DEFERRED]","[GAME].[PARENTH1].[CNTRU]")</f>
        <v>T_SOLD_GAM - Gaming Machines Sold,EGM_PS_DEFERRED - Slot Machines Deferred,CNTRU - Contrad Units</v>
      </c>
    </row>
    <row r="50" spans="1:39">
      <c r="D50" t="str">
        <f xml:space="preserve"> _xll.EPMOlapMemberO("[TIME].[PARENTH1].[2017.JAN]","","2017.JAN - Jan-17","","001")</f>
        <v>2017.JAN - Jan-17</v>
      </c>
      <c r="E50" t="str">
        <f xml:space="preserve"> _xll.EPMOlapMemberO("[TIME].[PARENTH1].[2017.FEB]","","2017.FEB - Feb-17","","001")</f>
        <v>2017.FEB - Feb-17</v>
      </c>
      <c r="F50" t="str">
        <f xml:space="preserve"> _xll.EPMOlapMemberO("[TIME].[PARENTH1].[2017.MAR]","","2017.MAR - Mar-17","","001")</f>
        <v>2017.MAR - Mar-17</v>
      </c>
      <c r="G50" t="str">
        <f xml:space="preserve"> _xll.EPMOlapMemberO("[TIME].[PARENTH1].[2017.APR]","","2017.APR - Apr-17","","001")</f>
        <v>2017.APR - Apr-17</v>
      </c>
      <c r="H50" t="str">
        <f xml:space="preserve"> _xll.EPMOlapMemberO("[TIME].[PARENTH1].[2017.MAY]","","2017.MAY - May-17","","001")</f>
        <v>2017.MAY - May-17</v>
      </c>
      <c r="I50" t="str">
        <f xml:space="preserve"> _xll.EPMOlapMemberO("[TIME].[PARENTH1].[2017.JUN]","","2017.JUN - Jun-17","","001")</f>
        <v>2017.JUN - Jun-17</v>
      </c>
      <c r="J50" t="str">
        <f xml:space="preserve"> _xll.EPMOlapMemberO("[TIME].[PARENTH1].[2017.JUL]","","2017.JUL - Jul-17","","001")</f>
        <v>2017.JUL - Jul-17</v>
      </c>
      <c r="K50" t="str">
        <f xml:space="preserve"> _xll.EPMOlapMemberO("[TIME].[PARENTH1].[2017.AUG]","","2017.AUG - Aug-17","","001")</f>
        <v>2017.AUG - Aug-17</v>
      </c>
      <c r="L50" t="str">
        <f xml:space="preserve"> _xll.EPMOlapMemberO("[TIME].[PARENTH1].[2017.SEP]","","2017.SEP - Sep-17","","001")</f>
        <v>2017.SEP - Sep-17</v>
      </c>
      <c r="M50" t="str">
        <f xml:space="preserve"> _xll.EPMOlapMemberO("[TIME].[PARENTH1].[2017.OCT]","","2017.OCT - Oct-17","","001")</f>
        <v>2017.OCT - Oct-17</v>
      </c>
      <c r="N50" t="str">
        <f xml:space="preserve"> _xll.EPMOlapMemberO("[TIME].[PARENTH1].[2017.NOV]","","2017.NOV - Nov-17","","001")</f>
        <v>2017.NOV - Nov-17</v>
      </c>
      <c r="O50" t="str">
        <f xml:space="preserve"> _xll.EPMOlapMemberO("[TIME].[PARENTH1].[2017.DEC]","","2017.DEC - Dec-17","","001")</f>
        <v>2017.DEC - Dec-17</v>
      </c>
      <c r="P50" t="str">
        <f xml:space="preserve"> _xll.EPMOlapMemberO("[TIME].[PARENTH1].[2018.JAN]","","2018.JAN - Jan-18","","001")</f>
        <v>2018.JAN - Jan-18</v>
      </c>
      <c r="Q50" t="str">
        <f xml:space="preserve"> _xll.EPMOlapMemberO("[TIME].[PARENTH1].[2018.FEB]","","2018.FEB - Feb-18","","001")</f>
        <v>2018.FEB - Feb-18</v>
      </c>
      <c r="R50" t="str">
        <f xml:space="preserve"> _xll.EPMOlapMemberO("[TIME].[PARENTH1].[2018.MAR]","","2018.MAR - Mar-18","","001")</f>
        <v>2018.MAR - Mar-18</v>
      </c>
      <c r="S50" t="str">
        <f xml:space="preserve"> _xll.EPMOlapMemberO("[TIME].[PARENTH1].[2018.APR]","","2018.APR - Apr-18","","001")</f>
        <v>2018.APR - Apr-18</v>
      </c>
      <c r="T50" t="str">
        <f xml:space="preserve"> _xll.EPMOlapMemberO("[TIME].[PARENTH1].[2018.MAY]","","2018.MAY - May-18","","001")</f>
        <v>2018.MAY - May-18</v>
      </c>
      <c r="U50" t="str">
        <f xml:space="preserve"> _xll.EPMOlapMemberO("[TIME].[PARENTH1].[2018.JUN]","","2018.JUN - Jun-18","","001")</f>
        <v>2018.JUN - Jun-18</v>
      </c>
      <c r="V50" t="str">
        <f xml:space="preserve"> _xll.EPMOlapMemberO("[TIME].[PARENTH1].[2018.JUL]","","2018.JUL - Jul-18","","001")</f>
        <v>2018.JUL - Jul-18</v>
      </c>
      <c r="W50" t="str">
        <f xml:space="preserve"> _xll.EPMOlapMemberO("[TIME].[PARENTH1].[2018.AUG]","","2018.AUG - Aug-18","","001")</f>
        <v>2018.AUG - Aug-18</v>
      </c>
      <c r="X50" t="str">
        <f xml:space="preserve"> _xll.EPMOlapMemberO("[TIME].[PARENTH1].[2018.SEP]","","2018.SEP - Sep-18","","001")</f>
        <v>2018.SEP - Sep-18</v>
      </c>
      <c r="Y50" t="str">
        <f xml:space="preserve"> _xll.EPMOlapMemberO("[TIME].[PARENTH1].[2018.OCT]","","2018.OCT - Oct-18","","001")</f>
        <v>2018.OCT - Oct-18</v>
      </c>
      <c r="Z50" t="str">
        <f xml:space="preserve"> _xll.EPMOlapMemberO("[TIME].[PARENTH1].[2018.NOV]","","2018.NOV - Nov-18","","001")</f>
        <v>2018.NOV - Nov-18</v>
      </c>
      <c r="AA50" t="str">
        <f xml:space="preserve"> _xll.EPMOlapMemberO("[TIME].[PARENTH1].[2018.DEC]","","2018.DEC - Dec-18","","001")</f>
        <v>2018.DEC - Dec-18</v>
      </c>
      <c r="AB50" t="str">
        <f xml:space="preserve"> _xll.EPMOlapMemberO("[TIME].[PARENTH1].[2019.JAN]","","2019.JAN - Jan-19","","001")</f>
        <v>2019.JAN - Jan-19</v>
      </c>
      <c r="AC50" t="str">
        <f xml:space="preserve"> _xll.EPMOlapMemberO("[TIME].[PARENTH1].[2019.FEB]","","2019.FEB - Feb-19","","001")</f>
        <v>2019.FEB - Feb-19</v>
      </c>
      <c r="AD50" t="str">
        <f xml:space="preserve"> _xll.EPMOlapMemberO("[TIME].[PARENTH1].[2019.MAR]","","2019.MAR - Mar-19","","001")</f>
        <v>2019.MAR - Mar-19</v>
      </c>
      <c r="AE50" t="str">
        <f xml:space="preserve"> _xll.EPMOlapMemberO("[TIME].[PARENTH1].[2019.APR]","","2019.APR - Apr-19","","001")</f>
        <v>2019.APR - Apr-19</v>
      </c>
      <c r="AF50" t="str">
        <f xml:space="preserve"> _xll.EPMOlapMemberO("[TIME].[PARENTH1].[2019.MAY]","","2019.MAY - May-19","","001")</f>
        <v>2019.MAY - May-19</v>
      </c>
      <c r="AG50" t="str">
        <f xml:space="preserve"> _xll.EPMOlapMemberO("[TIME].[PARENTH1].[2019.JUN]","","2019.JUN - Jun-19","","001")</f>
        <v>2019.JUN - Jun-19</v>
      </c>
      <c r="AH50" t="str">
        <f xml:space="preserve"> _xll.EPMOlapMemberO("[TIME].[PARENTH1].[2019.JUL]","","2019.JUL - Jul-19","","001")</f>
        <v>2019.JUL - Jul-19</v>
      </c>
      <c r="AI50" t="str">
        <f xml:space="preserve"> _xll.EPMOlapMemberO("[TIME].[PARENTH1].[2019.AUG]","","2019.AUG - Aug-19","","001")</f>
        <v>2019.AUG - Aug-19</v>
      </c>
      <c r="AJ50" t="str">
        <f xml:space="preserve"> _xll.EPMOlapMemberO("[TIME].[PARENTH1].[2019.SEP]","","2019.SEP - Sep-19","","001")</f>
        <v>2019.SEP - Sep-19</v>
      </c>
      <c r="AK50" t="str">
        <f xml:space="preserve"> _xll.EPMOlapMemberO("[TIME].[PARENTH1].[2019.OCT]","","2019.OCT - Oct-19","","001")</f>
        <v>2019.OCT - Oct-19</v>
      </c>
      <c r="AL50" t="str">
        <f xml:space="preserve"> _xll.EPMOlapMemberO("[TIME].[PARENTH1].[2019.NOV]","","2019.NOV - Nov-19","","001")</f>
        <v>2019.NOV - Nov-19</v>
      </c>
    </row>
    <row r="51" spans="1:39">
      <c r="B51" s="30" t="str">
        <f xml:space="preserve"> _xll.EPMOlapMemberO("[ACCOUNT].[PARENTH2].[TERMINALSOLD]","","Terminals Shipped","","001")</f>
        <v>Terminals Shipped</v>
      </c>
      <c r="D51" s="31">
        <v>350</v>
      </c>
      <c r="E51" s="31">
        <v>669</v>
      </c>
      <c r="F51" s="31">
        <v>2925</v>
      </c>
      <c r="G51" s="31">
        <v>436</v>
      </c>
      <c r="H51" s="31">
        <v>1877</v>
      </c>
      <c r="I51" s="31">
        <v>2980</v>
      </c>
      <c r="J51" s="31">
        <v>714</v>
      </c>
      <c r="K51" s="31">
        <v>772</v>
      </c>
      <c r="L51" s="31">
        <v>2116</v>
      </c>
      <c r="M51" s="31">
        <v>475</v>
      </c>
      <c r="N51" s="31">
        <v>1240</v>
      </c>
      <c r="O51" s="31">
        <v>3580</v>
      </c>
      <c r="P51" s="31">
        <v>464</v>
      </c>
      <c r="Q51" s="31">
        <v>1112</v>
      </c>
      <c r="R51" s="31">
        <v>2150</v>
      </c>
      <c r="S51" s="31">
        <v>495</v>
      </c>
      <c r="T51" s="31">
        <v>1063</v>
      </c>
      <c r="U51" s="31">
        <v>2992</v>
      </c>
      <c r="V51" s="31">
        <v>522</v>
      </c>
      <c r="W51" s="31">
        <v>808</v>
      </c>
      <c r="X51" s="31">
        <v>2511</v>
      </c>
      <c r="Y51" s="31">
        <v>1026</v>
      </c>
      <c r="Z51" s="31">
        <v>1111</v>
      </c>
      <c r="AA51" s="31">
        <v>4595</v>
      </c>
      <c r="AB51" s="31">
        <v>526</v>
      </c>
      <c r="AC51" s="31">
        <v>592</v>
      </c>
      <c r="AD51" s="31">
        <v>2908</v>
      </c>
      <c r="AE51" s="31">
        <v>596</v>
      </c>
      <c r="AF51" s="31">
        <v>1183</v>
      </c>
      <c r="AG51" s="31">
        <v>2882</v>
      </c>
      <c r="AH51" s="31">
        <v>721</v>
      </c>
      <c r="AI51" s="31">
        <v>1226</v>
      </c>
      <c r="AJ51" s="31">
        <v>2994</v>
      </c>
      <c r="AK51" s="31">
        <v>485</v>
      </c>
      <c r="AL51" s="31">
        <v>1434</v>
      </c>
      <c r="AM51" s="31"/>
    </row>
    <row r="52" spans="1:39">
      <c r="AK52">
        <v>-14065103</v>
      </c>
      <c r="AL52">
        <v>-801630</v>
      </c>
    </row>
    <row r="53" spans="1:39">
      <c r="F53">
        <v>-659548.80000000005</v>
      </c>
      <c r="G53">
        <v>-97971.75</v>
      </c>
      <c r="H53">
        <v>-79702.33</v>
      </c>
      <c r="I53">
        <v>-313116.3</v>
      </c>
      <c r="J53">
        <v>0</v>
      </c>
      <c r="AK53">
        <v>5740558.2999999998</v>
      </c>
      <c r="AL53">
        <v>322467.75</v>
      </c>
    </row>
    <row r="54" spans="1:39">
      <c r="J54">
        <v>58575.7</v>
      </c>
    </row>
    <row r="55" spans="1:39">
      <c r="E55">
        <v>9263184.1999999993</v>
      </c>
      <c r="F55">
        <v>37705322.450000003</v>
      </c>
      <c r="G55">
        <v>6695162.3899999997</v>
      </c>
      <c r="H55">
        <v>26383196.399999999</v>
      </c>
      <c r="I55">
        <v>41043175.18</v>
      </c>
      <c r="J55">
        <v>8602317.6500000004</v>
      </c>
      <c r="K55">
        <v>9334037.1699999999</v>
      </c>
      <c r="L55">
        <v>28513253.739999998</v>
      </c>
      <c r="M55">
        <v>4833408.57</v>
      </c>
      <c r="N55">
        <v>16513890.52</v>
      </c>
      <c r="O55">
        <v>50901140.869999997</v>
      </c>
      <c r="P55">
        <v>5652413.4900000002</v>
      </c>
      <c r="Q55">
        <v>11850721.5</v>
      </c>
      <c r="R55">
        <v>32426959.370000001</v>
      </c>
      <c r="S55">
        <v>6373601.2599999998</v>
      </c>
      <c r="T55">
        <v>16782120.390000001</v>
      </c>
      <c r="U55">
        <v>39011913.229999997</v>
      </c>
      <c r="V55">
        <v>8751222.9600000009</v>
      </c>
      <c r="W55">
        <v>11057170.869999999</v>
      </c>
      <c r="X55">
        <v>34262238.659999996</v>
      </c>
      <c r="Y55">
        <v>15301862.27</v>
      </c>
      <c r="Z55">
        <v>17205953.940000001</v>
      </c>
      <c r="AA55">
        <v>63022896.189999998</v>
      </c>
      <c r="AB55">
        <v>6999063.71</v>
      </c>
      <c r="AC55">
        <v>7631018.21</v>
      </c>
      <c r="AD55">
        <v>48796785.159999996</v>
      </c>
      <c r="AE55">
        <v>9198340.0199999996</v>
      </c>
      <c r="AF55">
        <v>17831822.510000002</v>
      </c>
      <c r="AG55">
        <v>46093889.960000001</v>
      </c>
      <c r="AH55">
        <v>10252201.26</v>
      </c>
      <c r="AI55">
        <v>17295931.920000002</v>
      </c>
      <c r="AJ55">
        <v>46292866.060000002</v>
      </c>
      <c r="AK55">
        <v>6227744.6900000004</v>
      </c>
      <c r="AL55">
        <v>22697393.260000002</v>
      </c>
    </row>
    <row r="56" spans="1:39">
      <c r="B56" t="str">
        <f xml:space="preserve"> _xll.EPMOlapMemberO("[ACCOUNT].[PARENTH1].[ETERMCOSGM]","","ETERMCOSGM - Terminal Cost of Sales Gaming","","002")</f>
        <v>ETERMCOSGM - Terminal Cost of Sales Gaming</v>
      </c>
    </row>
    <row r="57" spans="1:39">
      <c r="B57" t="str">
        <f xml:space="preserve"> _xll.EPMOlapMemberO("[VERSION].[PARENTH1].[ACTUAL]","","Actual","","002")</f>
        <v>Actual</v>
      </c>
    </row>
    <row r="59" spans="1:39">
      <c r="A59" s="30"/>
      <c r="B59" s="33" t="str">
        <f xml:space="preserve"> _xll.EPMOlapMemberO("[GAME].[PARENTH1].[ALL_GAME]","","ALL_GAME - All Games","","002")</f>
        <v>ALL_GAME - All Games</v>
      </c>
    </row>
    <row r="60" spans="1:39">
      <c r="A60" s="30"/>
      <c r="B60" s="33" t="str">
        <f xml:space="preserve"> _xll.EPMOlapMemberO("[FUNCTIONALAREA].[PARENTH1].[PROD]","","PROD - Product","","002")</f>
        <v>PROD - Product</v>
      </c>
      <c r="D60" s="31"/>
      <c r="E60" s="31"/>
      <c r="F60" s="31"/>
      <c r="G60" s="31"/>
      <c r="H60" s="31"/>
      <c r="I60" s="31"/>
      <c r="J60" s="31"/>
    </row>
    <row r="61" spans="1:39">
      <c r="A61" s="30"/>
      <c r="B61" s="33"/>
      <c r="G61" t="s">
        <v>48</v>
      </c>
      <c r="H61" s="1" t="s">
        <v>49</v>
      </c>
    </row>
    <row r="62" spans="1:39">
      <c r="D62" s="39" t="str">
        <f xml:space="preserve"> _xll.EPMOlapMemberO("[COMPANYCODE].[PARENTH1].[301]","","301 - GTECH/Spielo Elimination","","002")</f>
        <v>301 - GTECH/Spielo Elimination</v>
      </c>
      <c r="E62" s="39" t="str">
        <f xml:space="preserve"> _xll.EPMOlapMemberO("[COMPANYCODE].[PARENTH1].[602]","","602 - IGT/GTECH  Eliminations","","002")</f>
        <v>602 - IGT/GTECH  Eliminations</v>
      </c>
      <c r="F62" s="39" t="str">
        <f xml:space="preserve"> _xll.EPMOlapMemberO("[COMPANYCODE].[PARENTH1].[303]","","303 - GTECH/Atronic Elimination","","002")</f>
        <v>303 - GTECH/Atronic Elimination</v>
      </c>
      <c r="G62" s="39" t="str">
        <f xml:space="preserve"> _xll.EPMOlapMemberO("[COMPANYCODE].[PARENTH1].[9050]","","9050 - IGT - Parent Elim.","","002")</f>
        <v>9050 - IGT - Parent Elim.</v>
      </c>
      <c r="H62" s="37" t="s">
        <v>50</v>
      </c>
    </row>
    <row r="63" spans="1:39">
      <c r="B63" s="44" t="str">
        <f xml:space="preserve"> _xll.EPMOlapMemberO("[TIME].[PARENTH1].[2017.JAN]","","2017.JAN - Jan-17","","002")</f>
        <v>2017.JAN - Jan-17</v>
      </c>
      <c r="C63" t="str">
        <f xml:space="preserve"> _xll.EPMOlapMemberO("[PROFITCENTER].[PARENTH1].[2070602]","","2070602 - Canada","","002")</f>
        <v>2070602 - Canada</v>
      </c>
      <c r="D63" s="35"/>
      <c r="E63" s="35">
        <v>-67148.52</v>
      </c>
      <c r="F63" s="35"/>
      <c r="G63" s="35"/>
      <c r="H63" s="7" t="e">
        <f>SUM(#REF!)</f>
        <v>#REF!</v>
      </c>
    </row>
    <row r="64" spans="1:39">
      <c r="B64" s="44" t="str">
        <f xml:space="preserve"> _xll.EPMOlapMemberO("[TIME].[PARENTH1].[2017.FEB]","","2017.FEB - Feb-17","","002")</f>
        <v>2017.FEB - Feb-17</v>
      </c>
      <c r="C64" t="str">
        <f xml:space="preserve"> _xll.EPMOlapMemberO("[PROFITCENTER].[PARENTH1].[2070602]","","2070602 - Canada","","002")</f>
        <v>2070602 - Canada</v>
      </c>
      <c r="E64">
        <v>-233502.71</v>
      </c>
      <c r="K64" s="7" t="e">
        <f>SUM(#REF!)</f>
        <v>#REF!</v>
      </c>
    </row>
    <row r="65" spans="2:11">
      <c r="B65" s="44" t="str">
        <f xml:space="preserve"> _xll.EPMOlapMemberO("[TIME].[PARENTH1].[2017.FEB]","","2017.FEB - Feb-17","","002")</f>
        <v>2017.FEB - Feb-17</v>
      </c>
      <c r="C65" t="str">
        <f xml:space="preserve"> _xll.EPMOlapMemberO("[PROFITCENTER].[PARENTH1].[9050041156]","","9050041156 - Canada Profit Elim P","","002")</f>
        <v>9050041156 - Canada Profit Elim P</v>
      </c>
      <c r="G65">
        <v>-52443.87</v>
      </c>
      <c r="K65" s="7" t="e">
        <f>SUM(#REF!)</f>
        <v>#REF!</v>
      </c>
    </row>
    <row r="66" spans="2:11">
      <c r="B66" s="44" t="str">
        <f xml:space="preserve"> _xll.EPMOlapMemberO("[TIME].[PARENTH1].[2017.MAR]","","2017.MAR - Mar-17","","002")</f>
        <v>2017.MAR - Mar-17</v>
      </c>
      <c r="C66" t="str">
        <f xml:space="preserve"> _xll.EPMOlapMemberO("[PROFITCENTER].[PARENTH1].[2070602]","","2070602 - Canada","","002")</f>
        <v>2070602 - Canada</v>
      </c>
      <c r="E66">
        <v>-253278.12</v>
      </c>
      <c r="K66" s="7" t="e">
        <f>SUM(#REF!)</f>
        <v>#REF!</v>
      </c>
    </row>
    <row r="67" spans="2:11">
      <c r="B67" s="44" t="str">
        <f xml:space="preserve"> _xll.EPMOlapMemberO("[TIME].[PARENTH1].[2017.MAR]","","2017.MAR - Mar-17","","002")</f>
        <v>2017.MAR - Mar-17</v>
      </c>
      <c r="C67" t="str">
        <f xml:space="preserve"> _xll.EPMOlapMemberO("[PROFITCENTER].[PARENTH1].[9050041156]","","9050041156 - Canada Profit Elim P","","002")</f>
        <v>9050041156 - Canada Profit Elim P</v>
      </c>
      <c r="G67">
        <v>-507698.32</v>
      </c>
      <c r="K67" s="7" t="e">
        <f>SUM(#REF!)</f>
        <v>#REF!</v>
      </c>
    </row>
    <row r="68" spans="2:11">
      <c r="B68" s="44" t="str">
        <f xml:space="preserve"> _xll.EPMOlapMemberO("[TIME].[PARENTH1].[2017.APR]","","2017.APR - Apr-17","","002")</f>
        <v>2017.APR - Apr-17</v>
      </c>
      <c r="C68" t="str">
        <f xml:space="preserve"> _xll.EPMOlapMemberO("[PROFITCENTER].[PARENTH1].[2070602]","","2070602 - Canada","","002")</f>
        <v>2070602 - Canada</v>
      </c>
      <c r="E68">
        <v>-478355.92</v>
      </c>
      <c r="K68" s="7" t="e">
        <f>SUM(#REF!)</f>
        <v>#REF!</v>
      </c>
    </row>
    <row r="69" spans="2:11">
      <c r="B69" s="44" t="str">
        <f xml:space="preserve"> _xll.EPMOlapMemberO("[TIME].[PARENTH1].[2017.APR]","","2017.APR - Apr-17","","002")</f>
        <v>2017.APR - Apr-17</v>
      </c>
      <c r="C69" t="str">
        <f xml:space="preserve"> _xll.EPMOlapMemberO("[PROFITCENTER].[PARENTH1].[9050041156]","","9050041156 - Canada Profit Elim P","","002")</f>
        <v>9050041156 - Canada Profit Elim P</v>
      </c>
      <c r="G69">
        <v>-4989.3100000000004</v>
      </c>
      <c r="K69" s="7" t="e">
        <f>SUM(#REF!)</f>
        <v>#REF!</v>
      </c>
    </row>
    <row r="70" spans="2:11">
      <c r="B70" s="44" t="str">
        <f xml:space="preserve"> _xll.EPMOlapMemberO("[TIME].[PARENTH1].[2017.MAY]","","2017.MAY - May-17","","002")</f>
        <v>2017.MAY - May-17</v>
      </c>
      <c r="C70" t="str">
        <f xml:space="preserve"> _xll.EPMOlapMemberO("[PROFITCENTER].[PARENTH1].[2089301]","","2089301 - New York Sales Produ","","002")</f>
        <v>2089301 - New York Sales Produ</v>
      </c>
      <c r="D70">
        <v>-388340.15</v>
      </c>
      <c r="K70" s="7" t="e">
        <f>SUM(#REF!)</f>
        <v>#REF!</v>
      </c>
    </row>
    <row r="71" spans="2:11">
      <c r="B71" s="44" t="str">
        <f xml:space="preserve"> _xll.EPMOlapMemberO("[TIME].[PARENTH1].[2017.MAY]","","2017.MAY - May-17","","002")</f>
        <v>2017.MAY - May-17</v>
      </c>
      <c r="C71" t="str">
        <f xml:space="preserve"> _xll.EPMOlapMemberO("[PROFITCENTER].[PARENTH1].[2070602]","","2070602 - Canada","","002")</f>
        <v>2070602 - Canada</v>
      </c>
      <c r="E71">
        <v>-379447.84</v>
      </c>
      <c r="K71" s="7" t="e">
        <f>SUM(#REF!)</f>
        <v>#REF!</v>
      </c>
    </row>
    <row r="72" spans="2:11">
      <c r="B72" s="44" t="str">
        <f xml:space="preserve"> _xll.EPMOlapMemberO("[TIME].[PARENTH1].[2017.MAY]","","2017.MAY - May-17","","002")</f>
        <v>2017.MAY - May-17</v>
      </c>
      <c r="C72" t="str">
        <f xml:space="preserve"> _xll.EPMOlapMemberO("[PROFITCENTER].[PARENTH1].[9050041156]","","9050041156 - Canada Profit Elim P","","002")</f>
        <v>9050041156 - Canada Profit Elim P</v>
      </c>
      <c r="G72">
        <v>-111700.46</v>
      </c>
      <c r="K72" s="7" t="e">
        <f>SUM(#REF!)</f>
        <v>#REF!</v>
      </c>
    </row>
    <row r="73" spans="2:11">
      <c r="B73" s="44" t="str">
        <f xml:space="preserve"> _xll.EPMOlapMemberO("[TIME].[PARENTH1].[2017.JUN]","","2017.JUN - Jun-17","","002")</f>
        <v>2017.JUN - Jun-17</v>
      </c>
      <c r="C73" t="str">
        <f xml:space="preserve"> _xll.EPMOlapMemberO("[PROFITCENTER].[PARENTH1].[2070602]","","2070602 - Canada","","002")</f>
        <v>2070602 - Canada</v>
      </c>
      <c r="E73">
        <v>135984.35</v>
      </c>
      <c r="K73" s="7" t="e">
        <f>SUM(#REF!)</f>
        <v>#REF!</v>
      </c>
    </row>
    <row r="74" spans="2:11">
      <c r="B74" s="44" t="str">
        <f xml:space="preserve"> _xll.EPMOlapMemberO("[TIME].[PARENTH1].[2017.JUN]","","2017.JUN - Jun-17","","002")</f>
        <v>2017.JUN - Jun-17</v>
      </c>
      <c r="C74" t="str">
        <f xml:space="preserve"> _xll.EPMOlapMemberO("[PROFITCENTER].[PARENTH1].[9050041156]","","9050041156 - Canada Profit Elim P","","002")</f>
        <v>9050041156 - Canada Profit Elim P</v>
      </c>
      <c r="G74">
        <v>-1294540.68</v>
      </c>
      <c r="K74" s="7" t="e">
        <f>SUM(#REF!)</f>
        <v>#REF!</v>
      </c>
    </row>
    <row r="75" spans="2:11">
      <c r="B75" s="44" t="str">
        <f xml:space="preserve"> _xll.EPMOlapMemberO("[TIME].[PARENTH1].[2017.JUN]","","2017.JUN - Jun-17","","002")</f>
        <v>2017.JUN - Jun-17</v>
      </c>
      <c r="C75" t="str">
        <f xml:space="preserve"> _xll.EPMOlapMemberO("[PROFITCENTER].[PARENTH1].[2138301]","","2138301 - Quebec VLT","","002")</f>
        <v>2138301 - Quebec VLT</v>
      </c>
      <c r="D75">
        <v>-14078.54</v>
      </c>
      <c r="K75" s="7" t="e">
        <f>SUM(#REF!)</f>
        <v>#REF!</v>
      </c>
    </row>
    <row r="76" spans="2:11">
      <c r="B76" s="44" t="str">
        <f xml:space="preserve"> _xll.EPMOlapMemberO("[TIME].[PARENTH1].[2017.JUL]","","2017.JUL - Jul-17","","002")</f>
        <v>2017.JUL - Jul-17</v>
      </c>
      <c r="C76" t="str">
        <f xml:space="preserve"> _xll.EPMOlapMemberO("[PROFITCENTER].[PARENTH1].[2012602]","","2012602 - WV Limited Gaming Pr","","002")</f>
        <v>2012602 - WV Limited Gaming Pr</v>
      </c>
      <c r="E76">
        <v>-4431.25</v>
      </c>
      <c r="K76" s="7" t="e">
        <f>SUM(#REF!)</f>
        <v>#REF!</v>
      </c>
    </row>
    <row r="77" spans="2:11">
      <c r="B77" s="44" t="str">
        <f xml:space="preserve"> _xll.EPMOlapMemberO("[TIME].[PARENTH1].[2017.JUL]","","2017.JUL - Jul-17","","002")</f>
        <v>2017.JUL - Jul-17</v>
      </c>
      <c r="C77" t="str">
        <f xml:space="preserve"> _xll.EPMOlapMemberO("[PROFITCENTER].[PARENTH1].[2070602]","","2070602 - Canada","","002")</f>
        <v>2070602 - Canada</v>
      </c>
      <c r="E77">
        <v>-1649531.91</v>
      </c>
      <c r="K77" s="7" t="e">
        <f>SUM(#REF!)</f>
        <v>#REF!</v>
      </c>
    </row>
    <row r="78" spans="2:11">
      <c r="B78" s="44" t="str">
        <f xml:space="preserve"> _xll.EPMOlapMemberO("[TIME].[PARENTH1].[2017.JUL]","","2017.JUL - Jul-17","","002")</f>
        <v>2017.JUL - Jul-17</v>
      </c>
      <c r="C78" t="str">
        <f xml:space="preserve"> _xll.EPMOlapMemberO("[PROFITCENTER].[PARENTH1].[9050041156]","","9050041156 - Canada Profit Elim P","","002")</f>
        <v>9050041156 - Canada Profit Elim P</v>
      </c>
      <c r="G78">
        <v>-310738.03000000003</v>
      </c>
      <c r="K78" s="7" t="e">
        <f>SUM(#REF!)</f>
        <v>#REF!</v>
      </c>
    </row>
    <row r="79" spans="2:11">
      <c r="B79" s="44" t="str">
        <f xml:space="preserve"> _xll.EPMOlapMemberO("[TIME].[PARENTH1].[2017.AUG]","","2017.AUG - Aug-17","","002")</f>
        <v>2017.AUG - Aug-17</v>
      </c>
      <c r="C79" t="str">
        <f xml:space="preserve"> _xll.EPMOlapMemberO("[PROFITCENTER].[PARENTH1].[2070602]","","2070602 - Canada","","002")</f>
        <v>2070602 - Canada</v>
      </c>
      <c r="E79">
        <v>-781190.19</v>
      </c>
      <c r="K79" s="7" t="e">
        <f>SUM(#REF!)</f>
        <v>#REF!</v>
      </c>
    </row>
    <row r="80" spans="2:11">
      <c r="B80" s="44" t="str">
        <f xml:space="preserve"> _xll.EPMOlapMemberO("[TIME].[PARENTH1].[2017.SEP]","","2017.SEP - Sep-17","","002")</f>
        <v>2017.SEP - Sep-17</v>
      </c>
      <c r="C80" t="str">
        <f xml:space="preserve"> _xll.EPMOlapMemberO("[PROFITCENTER].[PARENTH1].[2070602]","","2070602 - Canada","","002")</f>
        <v>2070602 - Canada</v>
      </c>
      <c r="E80">
        <v>-429453.48</v>
      </c>
      <c r="K80" s="7" t="e">
        <f>SUM(#REF!)</f>
        <v>#REF!</v>
      </c>
    </row>
    <row r="81" spans="2:11">
      <c r="B81" s="44" t="str">
        <f xml:space="preserve"> _xll.EPMOlapMemberO("[TIME].[PARENTH1].[2017.OCT]","","2017.OCT - Oct-17","","002")</f>
        <v>2017.OCT - Oct-17</v>
      </c>
      <c r="C81" t="str">
        <f xml:space="preserve"> _xll.EPMOlapMemberO("[PROFITCENTER].[PARENTH1].[2070602]","","2070602 - Canada","","002")</f>
        <v>2070602 - Canada</v>
      </c>
      <c r="E81">
        <v>308801.71000000002</v>
      </c>
      <c r="K81" s="7" t="e">
        <f>SUM(#REF!)</f>
        <v>#REF!</v>
      </c>
    </row>
    <row r="82" spans="2:11">
      <c r="B82" s="44" t="str">
        <f xml:space="preserve"> _xll.EPMOlapMemberO("[TIME].[PARENTH1].[2017.NOV]","","2017.NOV - Nov-17","","002")</f>
        <v>2017.NOV - Nov-17</v>
      </c>
      <c r="C82" t="str">
        <f xml:space="preserve"> _xll.EPMOlapMemberO("[PROFITCENTER].[PARENTH1].[2070602]","","2070602 - Canada","","002")</f>
        <v>2070602 - Canada</v>
      </c>
      <c r="E82">
        <v>-418992.26</v>
      </c>
      <c r="K82" s="7" t="e">
        <f>SUM(#REF!)</f>
        <v>#REF!</v>
      </c>
    </row>
    <row r="83" spans="2:11">
      <c r="B83" s="44" t="str">
        <f xml:space="preserve"> _xll.EPMOlapMemberO("[TIME].[PARENTH1].[2017.DEC]","","2017.DEC - Dec-17","","002")</f>
        <v>2017.DEC - Dec-17</v>
      </c>
      <c r="C83" t="str">
        <f xml:space="preserve"> _xll.EPMOlapMemberO("[PROFITCENTER].[PARENTH1].[2074301]","","2074301 - Illinois","","002")</f>
        <v>2074301 - Illinois</v>
      </c>
      <c r="D83">
        <v>-135.63</v>
      </c>
      <c r="K83" s="7" t="e">
        <f>SUM(#REF!)</f>
        <v>#REF!</v>
      </c>
    </row>
    <row r="84" spans="2:11">
      <c r="B84" s="44" t="str">
        <f xml:space="preserve"> _xll.EPMOlapMemberO("[TIME].[PARENTH1].[2017.DEC]","","2017.DEC - Dec-17","","002")</f>
        <v>2017.DEC - Dec-17</v>
      </c>
      <c r="C84" t="str">
        <f xml:space="preserve"> _xll.EPMOlapMemberO("[PROFITCENTER].[PARENTH1].[2070602]","","2070602 - Canada","","002")</f>
        <v>2070602 - Canada</v>
      </c>
      <c r="E84">
        <v>-1882813.6</v>
      </c>
      <c r="K84" s="7" t="e">
        <f>SUM(#REF!)</f>
        <v>#REF!</v>
      </c>
    </row>
    <row r="85" spans="2:11">
      <c r="B85" s="44" t="str">
        <f xml:space="preserve"> _xll.EPMOlapMemberO("[TIME].[PARENTH1].[2017.DEC]","","2017.DEC - Dec-17","","002")</f>
        <v>2017.DEC - Dec-17</v>
      </c>
      <c r="C85" t="str">
        <f xml:space="preserve"> _xll.EPMOlapMemberO("[PROFITCENTER].[PARENTH1].[9050041156]","","9050041156 - Canada Profit Elim P","","002")</f>
        <v>9050041156 - Canada Profit Elim P</v>
      </c>
      <c r="G85">
        <v>-936513.68</v>
      </c>
      <c r="K85" s="7" t="e">
        <f>SUM(#REF!)</f>
        <v>#REF!</v>
      </c>
    </row>
    <row r="86" spans="2:11">
      <c r="B86" s="44" t="str">
        <f xml:space="preserve"> _xll.EPMOlapMemberO("[TIME].[PARENTH1].[2018.JAN]","","2018.JAN - Jan-18","","002")</f>
        <v>2018.JAN - Jan-18</v>
      </c>
      <c r="C86" t="str">
        <f xml:space="preserve"> _xll.EPMOlapMemberO("[PROFITCENTER].[PARENTH1].[9050041156]","","9050041156 - Canada Profit Elim P","","002")</f>
        <v>9050041156 - Canada Profit Elim P</v>
      </c>
      <c r="G86">
        <v>-67649.09</v>
      </c>
      <c r="K86" s="7" t="e">
        <f>SUM(#REF!)</f>
        <v>#REF!</v>
      </c>
    </row>
    <row r="87" spans="2:11">
      <c r="B87" s="44" t="str">
        <f xml:space="preserve"> _xll.EPMOlapMemberO("[TIME].[PARENTH1].[2018.FEB]","","2018.FEB - Feb-18","","002")</f>
        <v>2018.FEB - Feb-18</v>
      </c>
      <c r="C87" t="str">
        <f xml:space="preserve"> _xll.EPMOlapMemberO("[PROFITCENTER].[PARENTH1].[9050041156]","","9050041156 - Canada Profit Elim P","","002")</f>
        <v>9050041156 - Canada Profit Elim P</v>
      </c>
      <c r="G87">
        <v>-3727.95</v>
      </c>
      <c r="K87" s="7" t="e">
        <f>SUM(#REF!)</f>
        <v>#REF!</v>
      </c>
    </row>
    <row r="88" spans="2:11">
      <c r="B88" s="44" t="str">
        <f xml:space="preserve"> _xll.EPMOlapMemberO("[TIME].[PARENTH1].[2018.MAR]","","2018.MAR - Mar-18","","002")</f>
        <v>2018.MAR - Mar-18</v>
      </c>
      <c r="C88" t="str">
        <f xml:space="preserve"> _xll.EPMOlapMemberO("[PROFITCENTER].[PARENTH1].[2070602]","","2070602 - Canada","","002")</f>
        <v>2070602 - Canada</v>
      </c>
      <c r="E88">
        <v>-1015448.57</v>
      </c>
      <c r="K88" s="7" t="e">
        <f>SUM(#REF!)</f>
        <v>#REF!</v>
      </c>
    </row>
    <row r="89" spans="2:11">
      <c r="B89" s="44" t="str">
        <f xml:space="preserve"> _xll.EPMOlapMemberO("[TIME].[PARENTH1].[2018.MAR]","","2018.MAR - Mar-18","","002")</f>
        <v>2018.MAR - Mar-18</v>
      </c>
      <c r="C89" t="str">
        <f xml:space="preserve"> _xll.EPMOlapMemberO("[PROFITCENTER].[PARENTH1].[9050041156]","","9050041156 - Canada Profit Elim P","","002")</f>
        <v>9050041156 - Canada Profit Elim P</v>
      </c>
      <c r="G89">
        <v>225136.51</v>
      </c>
      <c r="K89" s="7" t="e">
        <f>SUM(#REF!)</f>
        <v>#REF!</v>
      </c>
    </row>
    <row r="90" spans="2:11">
      <c r="B90" s="44" t="str">
        <f xml:space="preserve"> _xll.EPMOlapMemberO("[TIME].[PARENTH1].[2018.APR]","","2018.APR - Apr-18","","002")</f>
        <v>2018.APR - Apr-18</v>
      </c>
      <c r="C90" t="str">
        <f xml:space="preserve"> _xll.EPMOlapMemberO("[PROFITCENTER].[PARENTH1].[2070602]","","2070602 - Canada","","002")</f>
        <v>2070602 - Canada</v>
      </c>
      <c r="E90">
        <v>-164885.57</v>
      </c>
      <c r="K90" s="7" t="e">
        <f>SUM(#REF!)</f>
        <v>#REF!</v>
      </c>
    </row>
    <row r="91" spans="2:11">
      <c r="B91" s="44" t="str">
        <f xml:space="preserve"> _xll.EPMOlapMemberO("[TIME].[PARENTH1].[2018.APR]","","2018.APR - Apr-18","","002")</f>
        <v>2018.APR - Apr-18</v>
      </c>
      <c r="C91" t="str">
        <f xml:space="preserve"> _xll.EPMOlapMemberO("[PROFITCENTER].[PARENTH1].[9050041156]","","9050041156 - Canada Profit Elim P","","002")</f>
        <v>9050041156 - Canada Profit Elim P</v>
      </c>
      <c r="G91">
        <v>-103227.4</v>
      </c>
      <c r="K91" s="7" t="e">
        <f>SUM(#REF!)</f>
        <v>#REF!</v>
      </c>
    </row>
    <row r="92" spans="2:11">
      <c r="B92" s="44" t="str">
        <f xml:space="preserve"> _xll.EPMOlapMemberO("[TIME].[PARENTH1].[2018.MAY]","","2018.MAY - May-18","","002")</f>
        <v>2018.MAY - May-18</v>
      </c>
      <c r="C92" t="str">
        <f xml:space="preserve"> _xll.EPMOlapMemberO("[PROFITCENTER].[PARENTH1].[2070602]","","2070602 - Canada","","002")</f>
        <v>2070602 - Canada</v>
      </c>
      <c r="E92">
        <v>-196641.21</v>
      </c>
      <c r="K92" s="7" t="e">
        <f>SUM(#REF!)</f>
        <v>#REF!</v>
      </c>
    </row>
    <row r="93" spans="2:11">
      <c r="B93" s="44" t="str">
        <f xml:space="preserve"> _xll.EPMOlapMemberO("[TIME].[PARENTH1].[2018.MAY]","","2018.MAY - May-18","","002")</f>
        <v>2018.MAY - May-18</v>
      </c>
      <c r="C93" t="str">
        <f xml:space="preserve"> _xll.EPMOlapMemberO("[PROFITCENTER].[PARENTH1].[9050041156]","","9050041156 - Canada Profit Elim P","","002")</f>
        <v>9050041156 - Canada Profit Elim P</v>
      </c>
      <c r="G93">
        <v>-475220.25</v>
      </c>
      <c r="K93" s="7" t="e">
        <f>SUM(#REF!)</f>
        <v>#REF!</v>
      </c>
    </row>
    <row r="94" spans="2:11">
      <c r="B94" s="44" t="str">
        <f xml:space="preserve"> _xll.EPMOlapMemberO("[TIME].[PARENTH1].[2018.JUN]","","2018.JUN - Jun-18","","002")</f>
        <v>2018.JUN - Jun-18</v>
      </c>
      <c r="C94" t="str">
        <f xml:space="preserve"> _xll.EPMOlapMemberO("[PROFITCENTER].[PARENTH1].[2070602]","","2070602 - Canada","","002")</f>
        <v>2070602 - Canada</v>
      </c>
      <c r="E94">
        <v>-757111.72</v>
      </c>
      <c r="K94" s="7" t="e">
        <f>SUM(#REF!)</f>
        <v>#REF!</v>
      </c>
    </row>
    <row r="95" spans="2:11">
      <c r="B95" s="44" t="str">
        <f xml:space="preserve"> _xll.EPMOlapMemberO("[TIME].[PARENTH1].[2018.JUN]","","2018.JUN - Jun-18","","002")</f>
        <v>2018.JUN - Jun-18</v>
      </c>
      <c r="C95" t="str">
        <f xml:space="preserve"> _xll.EPMOlapMemberO("[PROFITCENTER].[PARENTH1].[9050041156]","","9050041156 - Canada Profit Elim P","","002")</f>
        <v>9050041156 - Canada Profit Elim P</v>
      </c>
      <c r="G95">
        <v>-125734.24</v>
      </c>
      <c r="K95" s="7" t="e">
        <f>SUM(#REF!)</f>
        <v>#REF!</v>
      </c>
    </row>
    <row r="96" spans="2:11">
      <c r="B96" s="44" t="str">
        <f xml:space="preserve"> _xll.EPMOlapMemberO("[TIME].[PARENTH1].[2018.JUL]","","2018.JUL - Jul-18","","002")</f>
        <v>2018.JUL - Jul-18</v>
      </c>
      <c r="C96" t="str">
        <f xml:space="preserve"> _xll.EPMOlapMemberO("[PROFITCENTER].[PARENTH1].[2070602]","","2070602 - Canada","","002")</f>
        <v>2070602 - Canada</v>
      </c>
      <c r="E96">
        <v>-828283.72</v>
      </c>
      <c r="K96" s="7" t="e">
        <f>SUM(#REF!)</f>
        <v>#REF!</v>
      </c>
    </row>
    <row r="97" spans="2:11">
      <c r="B97" s="44" t="str">
        <f xml:space="preserve"> _xll.EPMOlapMemberO("[TIME].[PARENTH1].[2018.JUL]","","2018.JUL - Jul-18","","002")</f>
        <v>2018.JUL - Jul-18</v>
      </c>
      <c r="C97" t="str">
        <f xml:space="preserve"> _xll.EPMOlapMemberO("[PROFITCENTER].[PARENTH1].[9050041156]","","9050041156 - Canada Profit Elim P","","002")</f>
        <v>9050041156 - Canada Profit Elim P</v>
      </c>
      <c r="G97">
        <v>-244276.6</v>
      </c>
      <c r="K97" s="7" t="e">
        <f>SUM(#REF!)</f>
        <v>#REF!</v>
      </c>
    </row>
    <row r="98" spans="2:11">
      <c r="B98" s="44" t="str">
        <f xml:space="preserve"> _xll.EPMOlapMemberO("[TIME].[PARENTH1].[2018.AUG]","","2018.AUG - Aug-18","","002")</f>
        <v>2018.AUG - Aug-18</v>
      </c>
      <c r="C98" t="str">
        <f xml:space="preserve"> _xll.EPMOlapMemberO("[PROFITCENTER].[PARENTH1].[2062602]","","2062602 - British Columbia","","002")</f>
        <v>2062602 - British Columbia</v>
      </c>
      <c r="E98">
        <v>-319265.48</v>
      </c>
      <c r="K98" s="7" t="e">
        <f>SUM(#REF!)</f>
        <v>#REF!</v>
      </c>
    </row>
    <row r="99" spans="2:11">
      <c r="B99" s="44" t="str">
        <f xml:space="preserve"> _xll.EPMOlapMemberO("[TIME].[PARENTH1].[2018.AUG]","","2018.AUG - Aug-18","","002")</f>
        <v>2018.AUG - Aug-18</v>
      </c>
      <c r="C99" t="str">
        <f xml:space="preserve"> _xll.EPMOlapMemberO("[PROFITCENTER].[PARENTH1].[9050041156]","","9050041156 - Canada Profit Elim P","","002")</f>
        <v>9050041156 - Canada Profit Elim P</v>
      </c>
      <c r="G99">
        <v>-342979.63</v>
      </c>
      <c r="K99" s="7" t="e">
        <f>SUM(#REF!)</f>
        <v>#REF!</v>
      </c>
    </row>
    <row r="100" spans="2:11">
      <c r="B100" s="44" t="str">
        <f xml:space="preserve"> _xll.EPMOlapMemberO("[TIME].[PARENTH1].[2018.AUG]","","2018.AUG - Aug-18","","002")</f>
        <v>2018.AUG - Aug-18</v>
      </c>
      <c r="C100" t="str">
        <f xml:space="preserve"> _xll.EPMOlapMemberO("[PROFITCENTER].[PARENTH1].[2363602]","","2363602 - Nova Scotia","","002")</f>
        <v>2363602 - Nova Scotia</v>
      </c>
      <c r="E100">
        <v>-302730.40000000002</v>
      </c>
      <c r="K100" s="7" t="e">
        <f>SUM(#REF!)</f>
        <v>#REF!</v>
      </c>
    </row>
    <row r="101" spans="2:11">
      <c r="B101" s="44" t="str">
        <f xml:space="preserve"> _xll.EPMOlapMemberO("[TIME].[PARENTH1].[2018.SEP]","","2018.SEP - Sep-18","","002")</f>
        <v>2018.SEP - Sep-18</v>
      </c>
      <c r="C101" t="str">
        <f xml:space="preserve"> _xll.EPMOlapMemberO("[PROFITCENTER].[PARENTH1].[2062602]","","2062602 - British Columbia","","002")</f>
        <v>2062602 - British Columbia</v>
      </c>
      <c r="E101">
        <v>-886038.52</v>
      </c>
      <c r="K101" s="7" t="e">
        <f>SUM(#REF!)</f>
        <v>#REF!</v>
      </c>
    </row>
    <row r="102" spans="2:11">
      <c r="B102" s="44" t="str">
        <f xml:space="preserve"> _xll.EPMOlapMemberO("[TIME].[PARENTH1].[2018.SEP]","","2018.SEP - Sep-18","","002")</f>
        <v>2018.SEP - Sep-18</v>
      </c>
      <c r="C102" t="str">
        <f xml:space="preserve"> _xll.EPMOlapMemberO("[PROFITCENTER].[PARENTH1].[2070602]","","2070602 - Canada","","002")</f>
        <v>2070602 - Canada</v>
      </c>
      <c r="E102">
        <v>2962370.79</v>
      </c>
      <c r="K102" s="7" t="e">
        <f>SUM(#REF!)</f>
        <v>#REF!</v>
      </c>
    </row>
    <row r="103" spans="2:11">
      <c r="B103" s="44" t="str">
        <f xml:space="preserve"> _xll.EPMOlapMemberO("[TIME].[PARENTH1].[2018.SEP]","","2018.SEP - Sep-18","","002")</f>
        <v>2018.SEP - Sep-18</v>
      </c>
      <c r="C103" t="str">
        <f xml:space="preserve"> _xll.EPMOlapMemberO("[PROFITCENTER].[PARENTH1].[9050041156]","","9050041156 - Canada Profit Elim P","","002")</f>
        <v>9050041156 - Canada Profit Elim P</v>
      </c>
      <c r="G103">
        <v>-305235.94</v>
      </c>
      <c r="K103" s="7" t="e">
        <f>SUM(#REF!)</f>
        <v>#REF!</v>
      </c>
    </row>
    <row r="104" spans="2:11">
      <c r="B104" s="44" t="str">
        <f xml:space="preserve"> _xll.EPMOlapMemberO("[TIME].[PARENTH1].[2018.SEP]","","2018.SEP - Sep-18","","002")</f>
        <v>2018.SEP - Sep-18</v>
      </c>
      <c r="C104" t="str">
        <f xml:space="preserve"> _xll.EPMOlapMemberO("[PROFITCENTER].[PARENTH1].[2063602]","","2063602 - Manitoba","","002")</f>
        <v>2063602 - Manitoba</v>
      </c>
      <c r="E104">
        <v>-70785.679999999993</v>
      </c>
      <c r="K104" s="7" t="e">
        <f>SUM(#REF!)</f>
        <v>#REF!</v>
      </c>
    </row>
    <row r="105" spans="2:11">
      <c r="B105" s="44" t="str">
        <f xml:space="preserve"> _xll.EPMOlapMemberO("[TIME].[PARENTH1].[2018.SEP]","","2018.SEP - Sep-18","","002")</f>
        <v>2018.SEP - Sep-18</v>
      </c>
      <c r="C105" t="str">
        <f xml:space="preserve"> _xll.EPMOlapMemberO("[PROFITCENTER].[PARENTH1].[2065602]","","2065602 - Ontario","","002")</f>
        <v>2065602 - Ontario</v>
      </c>
      <c r="E105">
        <v>-2491208.0299999998</v>
      </c>
      <c r="K105" s="7" t="e">
        <f>SUM(#REF!)</f>
        <v>#REF!</v>
      </c>
    </row>
    <row r="106" spans="2:11">
      <c r="B106" s="44" t="str">
        <f xml:space="preserve"> _xll.EPMOlapMemberO("[TIME].[PARENTH1].[2018.SEP]","","2018.SEP - Sep-18","","002")</f>
        <v>2018.SEP - Sep-18</v>
      </c>
      <c r="C106" t="str">
        <f xml:space="preserve"> _xll.EPMOlapMemberO("[PROFITCENTER].[PARENTH1].[2160602]","","2160602 - Core Stepper Sales -","","002")</f>
        <v>2160602 - Core Stepper Sales -</v>
      </c>
      <c r="E106">
        <v>-415050.46</v>
      </c>
      <c r="K106" s="7" t="e">
        <f>SUM(#REF!)</f>
        <v>#REF!</v>
      </c>
    </row>
    <row r="107" spans="2:11">
      <c r="B107" s="44" t="str">
        <f xml:space="preserve"> _xll.EPMOlapMemberO("[TIME].[PARENTH1].[2018.SEP]","","2018.SEP - Sep-18","","002")</f>
        <v>2018.SEP - Sep-18</v>
      </c>
      <c r="C107" t="str">
        <f xml:space="preserve"> _xll.EPMOlapMemberO("[PROFITCENTER].[PARENTH1].[2067602]","","2067602 - Saskatchewan","","002")</f>
        <v>2067602 - Saskatchewan</v>
      </c>
      <c r="E107">
        <v>-378979.4</v>
      </c>
      <c r="K107" s="7" t="e">
        <f>SUM(#REF!)</f>
        <v>#REF!</v>
      </c>
    </row>
    <row r="108" spans="2:11">
      <c r="B108" s="44" t="str">
        <f xml:space="preserve"> _xll.EPMOlapMemberO("[TIME].[PARENTH1].[2018.OCT]","","2018.OCT - Oct-18","","002")</f>
        <v>2018.OCT - Oct-18</v>
      </c>
      <c r="C108" t="str">
        <f xml:space="preserve"> _xll.EPMOlapMemberO("[PROFITCENTER].[PARENTH1].[2074301]","","2074301 - Illinois","","002")</f>
        <v>2074301 - Illinois</v>
      </c>
      <c r="D108">
        <v>-14.11</v>
      </c>
      <c r="K108" s="7" t="e">
        <f>SUM(#REF!)</f>
        <v>#REF!</v>
      </c>
    </row>
    <row r="109" spans="2:11">
      <c r="B109" s="44" t="str">
        <f xml:space="preserve"> _xll.EPMOlapMemberO("[TIME].[PARENTH1].[2018.OCT]","","2018.OCT - Oct-18","","002")</f>
        <v>2018.OCT - Oct-18</v>
      </c>
      <c r="C109" t="str">
        <f xml:space="preserve"> _xll.EPMOlapMemberO("[PROFITCENTER].[PARENTH1].[2062602]","","2062602 - British Columbia","","002")</f>
        <v>2062602 - British Columbia</v>
      </c>
      <c r="E109">
        <v>-563615.99</v>
      </c>
      <c r="K109" s="7" t="e">
        <f>SUM(#REF!)</f>
        <v>#REF!</v>
      </c>
    </row>
    <row r="110" spans="2:11">
      <c r="B110" s="44" t="str">
        <f xml:space="preserve"> _xll.EPMOlapMemberO("[TIME].[PARENTH1].[2018.OCT]","","2018.OCT - Oct-18","","002")</f>
        <v>2018.OCT - Oct-18</v>
      </c>
      <c r="C110" t="str">
        <f xml:space="preserve"> _xll.EPMOlapMemberO("[PROFITCENTER].[PARENTH1].[9050041156]","","9050041156 - Canada Profit Elim P","","002")</f>
        <v>9050041156 - Canada Profit Elim P</v>
      </c>
      <c r="G110">
        <v>-1682745.71</v>
      </c>
      <c r="K110" s="7" t="e">
        <f>SUM(#REF!)</f>
        <v>#REF!</v>
      </c>
    </row>
    <row r="111" spans="2:11">
      <c r="B111" s="44" t="str">
        <f xml:space="preserve"> _xll.EPMOlapMemberO("[TIME].[PARENTH1].[2018.OCT]","","2018.OCT - Oct-18","","002")</f>
        <v>2018.OCT - Oct-18</v>
      </c>
      <c r="C111" t="str">
        <f xml:space="preserve"> _xll.EPMOlapMemberO("[PROFITCENTER].[PARENTH1].[2065602]","","2065602 - Ontario","","002")</f>
        <v>2065602 - Ontario</v>
      </c>
      <c r="E111">
        <v>-623914.16</v>
      </c>
      <c r="K111" s="7" t="e">
        <f>SUM(#REF!)</f>
        <v>#REF!</v>
      </c>
    </row>
    <row r="112" spans="2:11">
      <c r="B112" s="44" t="str">
        <f xml:space="preserve"> _xll.EPMOlapMemberO("[TIME].[PARENTH1].[2018.OCT]","","2018.OCT - Oct-18","","002")</f>
        <v>2018.OCT - Oct-18</v>
      </c>
      <c r="C112" t="str">
        <f xml:space="preserve"> _xll.EPMOlapMemberO("[PROFITCENTER].[PARENTH1].[2160602]","","2160602 - Core Stepper Sales -","","002")</f>
        <v>2160602 - Core Stepper Sales -</v>
      </c>
      <c r="E112">
        <v>-190868.11</v>
      </c>
      <c r="K112" s="7" t="e">
        <f>SUM(#REF!)</f>
        <v>#REF!</v>
      </c>
    </row>
    <row r="113" spans="2:11">
      <c r="B113" s="44" t="str">
        <f xml:space="preserve"> _xll.EPMOlapMemberO("[TIME].[PARENTH1].[2018.NOV]","","2018.NOV - Nov-18","","002")</f>
        <v>2018.NOV - Nov-18</v>
      </c>
      <c r="C113" t="str">
        <f xml:space="preserve"> _xll.EPMOlapMemberO("[PROFITCENTER].[PARENTH1].[2062602]","","2062602 - British Columbia","","002")</f>
        <v>2062602 - British Columbia</v>
      </c>
      <c r="E113">
        <v>-364698.08</v>
      </c>
      <c r="K113" s="7" t="e">
        <f>SUM(#REF!)</f>
        <v>#REF!</v>
      </c>
    </row>
    <row r="114" spans="2:11">
      <c r="B114" s="44" t="str">
        <f xml:space="preserve"> _xll.EPMOlapMemberO("[TIME].[PARENTH1].[2018.NOV]","","2018.NOV - Nov-18","","002")</f>
        <v>2018.NOV - Nov-18</v>
      </c>
      <c r="C114" t="str">
        <f xml:space="preserve"> _xll.EPMOlapMemberO("[PROFITCENTER].[PARENTH1].[9050041156]","","9050041156 - Canada Profit Elim P","","002")</f>
        <v>9050041156 - Canada Profit Elim P</v>
      </c>
      <c r="G114">
        <v>-452131.07</v>
      </c>
      <c r="K114" s="7" t="e">
        <f>SUM(#REF!)</f>
        <v>#REF!</v>
      </c>
    </row>
    <row r="115" spans="2:11">
      <c r="B115" s="44" t="str">
        <f xml:space="preserve"> _xll.EPMOlapMemberO("[TIME].[PARENTH1].[2018.NOV]","","2018.NOV - Nov-18","","002")</f>
        <v>2018.NOV - Nov-18</v>
      </c>
      <c r="C115" t="str">
        <f xml:space="preserve"> _xll.EPMOlapMemberO("[PROFITCENTER].[PARENTH1].[2338602]","","2338602 - Manitoba","","002")</f>
        <v>2338602 - Manitoba</v>
      </c>
      <c r="E115">
        <v>-4673.79</v>
      </c>
      <c r="K115" s="7" t="e">
        <f>SUM(#REF!)</f>
        <v>#REF!</v>
      </c>
    </row>
    <row r="116" spans="2:11">
      <c r="B116" s="44" t="str">
        <f xml:space="preserve"> _xll.EPMOlapMemberO("[TIME].[PARENTH1].[2018.NOV]","","2018.NOV - Nov-18","","002")</f>
        <v>2018.NOV - Nov-18</v>
      </c>
      <c r="C116" t="str">
        <f xml:space="preserve"> _xll.EPMOlapMemberO("[PROFITCENTER].[PARENTH1].[2065602]","","2065602 - Ontario","","002")</f>
        <v>2065602 - Ontario</v>
      </c>
      <c r="E116">
        <v>-191025.58</v>
      </c>
      <c r="K116" s="7" t="e">
        <f>SUM(#REF!)</f>
        <v>#REF!</v>
      </c>
    </row>
    <row r="117" spans="2:11">
      <c r="B117" s="44" t="str">
        <f xml:space="preserve"> _xll.EPMOlapMemberO("[TIME].[PARENTH1].[2018.NOV]","","2018.NOV - Nov-18","","002")</f>
        <v>2018.NOV - Nov-18</v>
      </c>
      <c r="C117" t="str">
        <f xml:space="preserve"> _xll.EPMOlapMemberO("[PROFITCENTER].[PARENTH1].[2160602]","","2160602 - Core Stepper Sales -","","002")</f>
        <v>2160602 - Core Stepper Sales -</v>
      </c>
      <c r="E117">
        <v>-6822.5</v>
      </c>
      <c r="K117" s="7" t="e">
        <f>SUM(#REF!)</f>
        <v>#REF!</v>
      </c>
    </row>
    <row r="118" spans="2:11">
      <c r="B118" s="44" t="str">
        <f xml:space="preserve"> _xll.EPMOlapMemberO("[TIME].[PARENTH1].[2018.DEC]","","2018.DEC - Dec-18","","002")</f>
        <v>2018.DEC - Dec-18</v>
      </c>
      <c r="C118" t="str">
        <f xml:space="preserve"> _xll.EPMOlapMemberO("[PROFITCENTER].[PARENTH1].[2062602]","","2062602 - British Columbia","","002")</f>
        <v>2062602 - British Columbia</v>
      </c>
      <c r="E118">
        <v>-411091.08</v>
      </c>
      <c r="K118" s="7" t="e">
        <f>SUM(#REF!)</f>
        <v>#REF!</v>
      </c>
    </row>
    <row r="119" spans="2:11">
      <c r="B119" s="44" t="str">
        <f xml:space="preserve"> _xll.EPMOlapMemberO("[TIME].[PARENTH1].[2018.DEC]","","2018.DEC - Dec-18","","002")</f>
        <v>2018.DEC - Dec-18</v>
      </c>
      <c r="C119" t="str">
        <f xml:space="preserve"> _xll.EPMOlapMemberO("[PROFITCENTER].[PARENTH1].[9050041156]","","9050041156 - Canada Profit Elim P","","002")</f>
        <v>9050041156 - Canada Profit Elim P</v>
      </c>
      <c r="G119">
        <v>-768245.38</v>
      </c>
      <c r="K119" s="7" t="e">
        <f>SUM(#REF!)</f>
        <v>#REF!</v>
      </c>
    </row>
    <row r="120" spans="2:11">
      <c r="B120" s="44" t="str">
        <f xml:space="preserve"> _xll.EPMOlapMemberO("[TIME].[PARENTH1].[2018.DEC]","","2018.DEC - Dec-18","","002")</f>
        <v>2018.DEC - Dec-18</v>
      </c>
      <c r="C120" t="str">
        <f xml:space="preserve"> _xll.EPMOlapMemberO("[PROFITCENTER].[PARENTH1].[2063602]","","2063602 - Manitoba","","002")</f>
        <v>2063602 - Manitoba</v>
      </c>
      <c r="E120">
        <v>-146878.04</v>
      </c>
      <c r="K120" s="7" t="e">
        <f>SUM(#REF!)</f>
        <v>#REF!</v>
      </c>
    </row>
    <row r="121" spans="2:11">
      <c r="B121" s="44" t="str">
        <f xml:space="preserve"> _xll.EPMOlapMemberO("[TIME].[PARENTH1].[2018.DEC]","","2018.DEC - Dec-18","","002")</f>
        <v>2018.DEC - Dec-18</v>
      </c>
      <c r="C121" t="str">
        <f xml:space="preserve"> _xll.EPMOlapMemberO("[PROFITCENTER].[PARENTH1].[2338301]","","2338301 - Manitoba","","002")</f>
        <v>2338301 - Manitoba</v>
      </c>
      <c r="D121">
        <v>-1105.06</v>
      </c>
      <c r="K121" s="7" t="e">
        <f>SUM(#REF!)</f>
        <v>#REF!</v>
      </c>
    </row>
    <row r="122" spans="2:11">
      <c r="B122" s="44" t="str">
        <f xml:space="preserve"> _xll.EPMOlapMemberO("[TIME].[PARENTH1].[2018.DEC]","","2018.DEC - Dec-18","","002")</f>
        <v>2018.DEC - Dec-18</v>
      </c>
      <c r="C122" t="str">
        <f xml:space="preserve"> _xll.EPMOlapMemberO("[PROFITCENTER].[PARENTH1].[2338303]","","2338303 - Manitoba","","002")</f>
        <v>2338303 - Manitoba</v>
      </c>
      <c r="F122">
        <v>-232673.84</v>
      </c>
      <c r="K122" s="7" t="e">
        <f>SUM(#REF!)</f>
        <v>#REF!</v>
      </c>
    </row>
    <row r="123" spans="2:11">
      <c r="B123" s="44" t="str">
        <f xml:space="preserve"> _xll.EPMOlapMemberO("[TIME].[PARENTH1].[2018.DEC]","","2018.DEC - Dec-18","","002")</f>
        <v>2018.DEC - Dec-18</v>
      </c>
      <c r="C123" t="str">
        <f xml:space="preserve"> _xll.EPMOlapMemberO("[PROFITCENTER].[PARENTH1].[2338602]","","2338602 - Manitoba","","002")</f>
        <v>2338602 - Manitoba</v>
      </c>
      <c r="E123">
        <v>-4131247.94</v>
      </c>
      <c r="K123" s="7" t="e">
        <f>SUM(#REF!)</f>
        <v>#REF!</v>
      </c>
    </row>
    <row r="124" spans="2:11">
      <c r="B124" s="44" t="str">
        <f xml:space="preserve"> _xll.EPMOlapMemberO("[TIME].[PARENTH1].[2018.DEC]","","2018.DEC - Dec-18","","002")</f>
        <v>2018.DEC - Dec-18</v>
      </c>
      <c r="C124" t="str">
        <f xml:space="preserve"> _xll.EPMOlapMemberO("[PROFITCENTER].[PARENTH1].[2065602]","","2065602 - Ontario","","002")</f>
        <v>2065602 - Ontario</v>
      </c>
      <c r="E124">
        <v>-1301427.76</v>
      </c>
      <c r="K124" s="7" t="e">
        <f>SUM(#REF!)</f>
        <v>#REF!</v>
      </c>
    </row>
    <row r="125" spans="2:11">
      <c r="B125" s="44" t="str">
        <f xml:space="preserve"> _xll.EPMOlapMemberO("[TIME].[PARENTH1].[2018.DEC]","","2018.DEC - Dec-18","","002")</f>
        <v>2018.DEC - Dec-18</v>
      </c>
      <c r="C125" t="str">
        <f xml:space="preserve"> _xll.EPMOlapMemberO("[PROFITCENTER].[PARENTH1].[2155602]","","2155602 - ETG Sales - Ontario","","002")</f>
        <v>2155602 - ETG Sales - Ontario</v>
      </c>
      <c r="E125">
        <v>-125222.95</v>
      </c>
      <c r="K125" s="7" t="e">
        <f>SUM(#REF!)</f>
        <v>#REF!</v>
      </c>
    </row>
    <row r="126" spans="2:11">
      <c r="B126" s="44" t="str">
        <f xml:space="preserve"> _xll.EPMOlapMemberO("[TIME].[PARENTH1].[2018.DEC]","","2018.DEC - Dec-18","","002")</f>
        <v>2018.DEC - Dec-18</v>
      </c>
      <c r="C126" t="str">
        <f xml:space="preserve"> _xll.EPMOlapMemberO("[PROFITCENTER].[PARENTH1].[2160602]","","2160602 - Core Stepper Sales -","","002")</f>
        <v>2160602 - Core Stepper Sales -</v>
      </c>
      <c r="E126">
        <v>-309362.99</v>
      </c>
      <c r="K126" s="7" t="e">
        <f>SUM(#REF!)</f>
        <v>#REF!</v>
      </c>
    </row>
    <row r="127" spans="2:11">
      <c r="B127" s="44" t="str">
        <f xml:space="preserve"> _xll.EPMOlapMemberO("[TIME].[PARENTH1].[2018.DEC]","","2018.DEC - Dec-18","","002")</f>
        <v>2018.DEC - Dec-18</v>
      </c>
      <c r="C127" t="str">
        <f xml:space="preserve"> _xll.EPMOlapMemberO("[PROFITCENTER].[PARENTH1].[2067602]","","2067602 - Saskatchewan","","002")</f>
        <v>2067602 - Saskatchewan</v>
      </c>
      <c r="E127">
        <v>-422324.13</v>
      </c>
      <c r="K127" s="7" t="e">
        <f>SUM(#REF!)</f>
        <v>#REF!</v>
      </c>
    </row>
    <row r="128" spans="2:11">
      <c r="B128" s="44" t="str">
        <f xml:space="preserve"> _xll.EPMOlapMemberO("[TIME].[PARENTH1].[2018.DEC]","","2018.DEC - Dec-18","","002")</f>
        <v>2018.DEC - Dec-18</v>
      </c>
      <c r="C128" t="str">
        <f xml:space="preserve"> _xll.EPMOlapMemberO("[PROFITCENTER].[PARENTH1].[2133301]","","2133301 - Saskatchewan VLT","","002")</f>
        <v>2133301 - Saskatchewan VLT</v>
      </c>
      <c r="D128">
        <v>-4753.0600000000004</v>
      </c>
      <c r="K128" s="7" t="e">
        <f>SUM(#REF!)</f>
        <v>#REF!</v>
      </c>
    </row>
    <row r="129" spans="2:11">
      <c r="B129" s="44" t="str">
        <f xml:space="preserve"> _xll.EPMOlapMemberO("[TIME].[PARENTH1].[2018.DEC]","","2018.DEC - Dec-18","","002")</f>
        <v>2018.DEC - Dec-18</v>
      </c>
      <c r="C129" t="str">
        <f xml:space="preserve"> _xll.EPMOlapMemberO("[PROFITCENTER].[PARENTH1].[2133602]","","2133602 - Saskatchewan VLT","","002")</f>
        <v>2133602 - Saskatchewan VLT</v>
      </c>
      <c r="E129">
        <v>-5932487.7400000002</v>
      </c>
      <c r="K129" s="7" t="e">
        <f>SUM(#REF!)</f>
        <v>#REF!</v>
      </c>
    </row>
    <row r="130" spans="2:11">
      <c r="B130" s="44" t="str">
        <f xml:space="preserve"> _xll.EPMOlapMemberO("[TIME].[PARENTH1].[2018.DEC]","","2018.DEC - Dec-18","","002")</f>
        <v>2018.DEC - Dec-18</v>
      </c>
      <c r="C130" t="str">
        <f xml:space="preserve"> _xll.EPMOlapMemberO("[PROFITCENTER].[PARENTH1].[2453602]","","2453602 - New Brunswick","","002")</f>
        <v>2453602 - New Brunswick</v>
      </c>
      <c r="E130">
        <v>-52551.95</v>
      </c>
      <c r="K130" s="7" t="e">
        <f>SUM(#REF!)</f>
        <v>#REF!</v>
      </c>
    </row>
    <row r="131" spans="2:11">
      <c r="B131" s="44" t="str">
        <f xml:space="preserve"> _xll.EPMOlapMemberO("[TIME].[PARENTH1].[2019.JAN]","","2019.JAN - Jan-19","","002")</f>
        <v>2019.JAN - Jan-19</v>
      </c>
      <c r="C131" t="str">
        <f xml:space="preserve"> _xll.EPMOlapMemberO("[PROFITCENTER].[PARENTH1].[9050041156]","","9050041156 - Canada Profit Elim P","","002")</f>
        <v>9050041156 - Canada Profit Elim P</v>
      </c>
      <c r="G131">
        <v>-112363.2</v>
      </c>
      <c r="K131" s="7" t="e">
        <f>SUM(#REF!)</f>
        <v>#REF!</v>
      </c>
    </row>
    <row r="132" spans="2:11">
      <c r="B132" s="44" t="str">
        <f xml:space="preserve"> _xll.EPMOlapMemberO("[TIME].[PARENTH1].[2019.JAN]","","2019.JAN - Jan-19","","002")</f>
        <v>2019.JAN - Jan-19</v>
      </c>
      <c r="C132" t="str">
        <f xml:space="preserve"> _xll.EPMOlapMemberO("[PROFITCENTER].[PARENTH1].[2363602]","","2363602 - Nova Scotia","","002")</f>
        <v>2363602 - Nova Scotia</v>
      </c>
      <c r="E132">
        <v>-15897.68</v>
      </c>
      <c r="K132" s="7" t="e">
        <f>SUM(#REF!)</f>
        <v>#REF!</v>
      </c>
    </row>
    <row r="133" spans="2:11">
      <c r="B133" s="44" t="str">
        <f xml:space="preserve"> _xll.EPMOlapMemberO("[TIME].[PARENTH1].[2019.FEB]","","2019.FEB - Feb-19","","002")</f>
        <v>2019.FEB - Feb-19</v>
      </c>
      <c r="C133" t="str">
        <f xml:space="preserve"> _xll.EPMOlapMemberO("[PROFITCENTER].[PARENTH1].[9050041156]","","9050041156 - Canada Profit Elim P","","002")</f>
        <v>9050041156 - Canada Profit Elim P</v>
      </c>
      <c r="G133">
        <v>-513793.94</v>
      </c>
      <c r="K133" s="7" t="e">
        <f>SUM(#REF!)</f>
        <v>#REF!</v>
      </c>
    </row>
    <row r="134" spans="2:11">
      <c r="B134" s="44" t="str">
        <f xml:space="preserve"> _xll.EPMOlapMemberO("[TIME].[PARENTH1].[2019.FEB]","","2019.FEB - Feb-19","","002")</f>
        <v>2019.FEB - Feb-19</v>
      </c>
      <c r="C134" t="str">
        <f xml:space="preserve"> _xll.EPMOlapMemberO("[PROFITCENTER].[PARENTH1].[2164602]","","2164602 - NS Sales Saskatchewan","","002")</f>
        <v>2164602 - NS Sales Saskatchewan</v>
      </c>
      <c r="E134">
        <v>-287.29000000000002</v>
      </c>
      <c r="K134" s="7" t="e">
        <f>SUM(#REF!)</f>
        <v>#REF!</v>
      </c>
    </row>
    <row r="135" spans="2:11">
      <c r="B135" s="44" t="str">
        <f xml:space="preserve"> _xll.EPMOlapMemberO("[TIME].[PARENTH1].[2019.FEB]","","2019.FEB - Feb-19","","002")</f>
        <v>2019.FEB - Feb-19</v>
      </c>
      <c r="C135" t="str">
        <f xml:space="preserve"> _xll.EPMOlapMemberO("[PROFITCENTER].[PARENTH1].[2163602]","","2163602 - Core Stepper - NS","","002")</f>
        <v>2163602 - Core Stepper - NS</v>
      </c>
      <c r="E135">
        <v>-20049.12</v>
      </c>
      <c r="K135" s="7" t="e">
        <f>SUM(#REF!)</f>
        <v>#REF!</v>
      </c>
    </row>
    <row r="136" spans="2:11">
      <c r="B136" s="44" t="str">
        <f xml:space="preserve"> _xll.EPMOlapMemberO("[TIME].[PARENTH1].[2019.MAR]","","2019.MAR - Mar-19","","002")</f>
        <v>2019.MAR - Mar-19</v>
      </c>
      <c r="C136" t="str">
        <f xml:space="preserve"> _xll.EPMOlapMemberO("[PROFITCENTER].[PARENTH1].[2062602]","","2062602 - British Columbia","","002")</f>
        <v>2062602 - British Columbia</v>
      </c>
      <c r="E136">
        <v>-215143.67</v>
      </c>
      <c r="K136" s="7" t="e">
        <f>SUM(#REF!)</f>
        <v>#REF!</v>
      </c>
    </row>
    <row r="137" spans="2:11">
      <c r="B137" s="44" t="str">
        <f xml:space="preserve"> _xll.EPMOlapMemberO("[TIME].[PARENTH1].[2019.MAR]","","2019.MAR - Mar-19","","002")</f>
        <v>2019.MAR - Mar-19</v>
      </c>
      <c r="C137" t="str">
        <f xml:space="preserve"> _xll.EPMOlapMemberO("[PROFITCENTER].[PARENTH1].[2156602]","","2156602 - ETG Sales - British Colombia","","002")</f>
        <v>2156602 - ETG Sales - British Colombia</v>
      </c>
      <c r="E137">
        <v>-315270.96000000002</v>
      </c>
      <c r="K137" s="7" t="e">
        <f>SUM(#REF!)</f>
        <v>#REF!</v>
      </c>
    </row>
    <row r="138" spans="2:11">
      <c r="B138" s="44" t="str">
        <f xml:space="preserve"> _xll.EPMOlapMemberO("[TIME].[PARENTH1].[2019.MAR]","","2019.MAR - Mar-19","","002")</f>
        <v>2019.MAR - Mar-19</v>
      </c>
      <c r="C138" t="str">
        <f xml:space="preserve"> _xll.EPMOlapMemberO("[PROFITCENTER].[PARENTH1].[9050041156]","","9050041156 - Canada Profit Elim P","","002")</f>
        <v>9050041156 - Canada Profit Elim P</v>
      </c>
      <c r="G138">
        <v>-744186.81</v>
      </c>
      <c r="K138" s="7" t="e">
        <f>SUM(#REF!)</f>
        <v>#REF!</v>
      </c>
    </row>
    <row r="139" spans="2:11">
      <c r="B139" s="44" t="str">
        <f xml:space="preserve"> _xll.EPMOlapMemberO("[TIME].[PARENTH1].[2019.MAR]","","2019.MAR - Mar-19","","002")</f>
        <v>2019.MAR - Mar-19</v>
      </c>
      <c r="C139" t="str">
        <f xml:space="preserve"> _xll.EPMOlapMemberO("[PROFITCENTER].[PARENTH1].[2065602]","","2065602 - Ontario","","002")</f>
        <v>2065602 - Ontario</v>
      </c>
      <c r="E139">
        <v>-205533.24</v>
      </c>
      <c r="K139" s="7" t="e">
        <f>SUM(#REF!)</f>
        <v>#REF!</v>
      </c>
    </row>
    <row r="140" spans="2:11">
      <c r="B140" s="44" t="str">
        <f xml:space="preserve"> _xll.EPMOlapMemberO("[TIME].[PARENTH1].[2019.MAR]","","2019.MAR - Mar-19","","002")</f>
        <v>2019.MAR - Mar-19</v>
      </c>
      <c r="C140" t="str">
        <f xml:space="preserve"> _xll.EPMOlapMemberO("[PROFITCENTER].[PARENTH1].[2453602]","","2453602 - New Brunswick","","002")</f>
        <v>2453602 - New Brunswick</v>
      </c>
      <c r="E140">
        <v>-29817.24</v>
      </c>
      <c r="K140" s="7" t="e">
        <f>SUM(#REF!)</f>
        <v>#REF!</v>
      </c>
    </row>
    <row r="141" spans="2:11">
      <c r="B141" s="44" t="str">
        <f xml:space="preserve"> _xll.EPMOlapMemberO("[TIME].[PARENTH1].[2019.APR]","","2019.APR - Apr-19","","002")</f>
        <v>2019.APR - Apr-19</v>
      </c>
      <c r="C141" t="str">
        <f xml:space="preserve"> _xll.EPMOlapMemberO("[PROFITCENTER].[PARENTH1].[9050041156]","","9050041156 - Canada Profit Elim P","","002")</f>
        <v>9050041156 - Canada Profit Elim P</v>
      </c>
      <c r="G141">
        <v>1655.97</v>
      </c>
      <c r="K141" s="7" t="e">
        <f>SUM(#REF!)</f>
        <v>#REF!</v>
      </c>
    </row>
    <row r="142" spans="2:11">
      <c r="B142" s="44" t="str">
        <f xml:space="preserve"> _xll.EPMOlapMemberO("[TIME].[PARENTH1].[2019.APR]","","2019.APR - Apr-19","","002")</f>
        <v>2019.APR - Apr-19</v>
      </c>
      <c r="C142" t="str">
        <f xml:space="preserve"> _xll.EPMOlapMemberO("[PROFITCENTER].[PARENTH1].[2065602]","","2065602 - Ontario","","002")</f>
        <v>2065602 - Ontario</v>
      </c>
      <c r="E142">
        <v>-40016.410000000003</v>
      </c>
      <c r="K142" s="7" t="e">
        <f>SUM(#REF!)</f>
        <v>#REF!</v>
      </c>
    </row>
    <row r="143" spans="2:11">
      <c r="B143" s="44" t="str">
        <f xml:space="preserve"> _xll.EPMOlapMemberO("[TIME].[PARENTH1].[2019.APR]","","2019.APR - Apr-19","","002")</f>
        <v>2019.APR - Apr-19</v>
      </c>
      <c r="C143" t="str">
        <f xml:space="preserve"> _xll.EPMOlapMemberO("[PROFITCENTER].[PARENTH1].[2068602]","","2068602 - Poker Sales - Ontario (Product)","","002")</f>
        <v>2068602 - Poker Sales - Ontario (Product)</v>
      </c>
      <c r="E143">
        <v>-22350.54</v>
      </c>
      <c r="K143" s="7" t="e">
        <f>SUM(#REF!)</f>
        <v>#REF!</v>
      </c>
    </row>
    <row r="144" spans="2:11">
      <c r="B144" s="44" t="str">
        <f xml:space="preserve"> _xll.EPMOlapMemberO("[TIME].[PARENTH1].[2019.APR]","","2019.APR - Apr-19","","002")</f>
        <v>2019.APR - Apr-19</v>
      </c>
      <c r="C144" t="str">
        <f xml:space="preserve"> _xll.EPMOlapMemberO("[PROFITCENTER].[PARENTH1].[2160602]","","2160602 - Core Stepper Sales -","","002")</f>
        <v>2160602 - Core Stepper Sales -</v>
      </c>
      <c r="E144">
        <v>-6722.28</v>
      </c>
      <c r="K144" s="7" t="e">
        <f>SUM(#REF!)</f>
        <v>#REF!</v>
      </c>
    </row>
    <row r="145" spans="2:11">
      <c r="B145" s="44" t="str">
        <f xml:space="preserve"> _xll.EPMOlapMemberO("[TIME].[PARENTH1].[2019.MAY]","","2019.MAY - May-19","","002")</f>
        <v>2019.MAY - May-19</v>
      </c>
      <c r="C145" t="str">
        <f xml:space="preserve"> _xll.EPMOlapMemberO("[PROFITCENTER].[PARENTH1].[9050041156]","","9050041156 - Canada Profit Elim P","","002")</f>
        <v>9050041156 - Canada Profit Elim P</v>
      </c>
      <c r="G145">
        <v>408584.58</v>
      </c>
      <c r="K145" s="7" t="e">
        <f>SUM(#REF!)</f>
        <v>#REF!</v>
      </c>
    </row>
    <row r="146" spans="2:11">
      <c r="B146" s="44" t="str">
        <f xml:space="preserve"> _xll.EPMOlapMemberO("[TIME].[PARENTH1].[2019.JUN]","","2019.JUN - Jun-19","","002")</f>
        <v>2019.JUN - Jun-19</v>
      </c>
      <c r="C146" t="str">
        <f xml:space="preserve"> _xll.EPMOlapMemberO("[PROFITCENTER].[PARENTH1].[2062602]","","2062602 - British Columbia","","002")</f>
        <v>2062602 - British Columbia</v>
      </c>
      <c r="E146">
        <v>-370871.22</v>
      </c>
      <c r="K146" s="7" t="e">
        <f>SUM(#REF!)</f>
        <v>#REF!</v>
      </c>
    </row>
    <row r="147" spans="2:11">
      <c r="B147" s="44" t="str">
        <f xml:space="preserve"> _xll.EPMOlapMemberO("[TIME].[PARENTH1].[2019.JUN]","","2019.JUN - Jun-19","","002")</f>
        <v>2019.JUN - Jun-19</v>
      </c>
      <c r="C147" t="str">
        <f xml:space="preserve"> _xll.EPMOlapMemberO("[PROFITCENTER].[PARENTH1].[2162602]","","2162602 - ETG Sales Alberta","","002")</f>
        <v>2162602 - ETG Sales Alberta</v>
      </c>
      <c r="E147">
        <v>-275479.56</v>
      </c>
      <c r="K147" s="7" t="e">
        <f>SUM(#REF!)</f>
        <v>#REF!</v>
      </c>
    </row>
    <row r="148" spans="2:11">
      <c r="B148" s="44" t="str">
        <f xml:space="preserve"> _xll.EPMOlapMemberO("[TIME].[PARENTH1].[2019.JUN]","","2019.JUN - Jun-19","","002")</f>
        <v>2019.JUN - Jun-19</v>
      </c>
      <c r="C148" t="str">
        <f xml:space="preserve"> _xll.EPMOlapMemberO("[PROFITCENTER].[PARENTH1].[9050041156]","","9050041156 - Canada Profit Elim P","","002")</f>
        <v>9050041156 - Canada Profit Elim P</v>
      </c>
      <c r="G148">
        <v>-718693.14</v>
      </c>
      <c r="K148" s="7" t="e">
        <f>SUM(#REF!)</f>
        <v>#REF!</v>
      </c>
    </row>
    <row r="149" spans="2:11">
      <c r="B149" s="44" t="str">
        <f xml:space="preserve"> _xll.EPMOlapMemberO("[TIME].[PARENTH1].[2019.JUN]","","2019.JUN - Jun-19","","002")</f>
        <v>2019.JUN - Jun-19</v>
      </c>
      <c r="C149" t="str">
        <f xml:space="preserve"> _xll.EPMOlapMemberO("[PROFITCENTER].[PARENTH1].[2338303]","","2338303 - Manitoba","","002")</f>
        <v>2338303 - Manitoba</v>
      </c>
      <c r="F149">
        <v>-3819.59</v>
      </c>
      <c r="K149" s="7" t="e">
        <f>SUM(#REF!)</f>
        <v>#REF!</v>
      </c>
    </row>
    <row r="150" spans="2:11">
      <c r="B150" s="44" t="str">
        <f xml:space="preserve"> _xll.EPMOlapMemberO("[TIME].[PARENTH1].[2019.JUN]","","2019.JUN - Jun-19","","002")</f>
        <v>2019.JUN - Jun-19</v>
      </c>
      <c r="C150" t="str">
        <f xml:space="preserve"> _xll.EPMOlapMemberO("[PROFITCENTER].[PARENTH1].[2065602]","","2065602 - Ontario","","002")</f>
        <v>2065602 - Ontario</v>
      </c>
      <c r="E150">
        <v>-35100.879999999997</v>
      </c>
      <c r="K150" s="7" t="e">
        <f>SUM(#REF!)</f>
        <v>#REF!</v>
      </c>
    </row>
    <row r="151" spans="2:11">
      <c r="B151" s="44" t="str">
        <f xml:space="preserve"> _xll.EPMOlapMemberO("[TIME].[PARENTH1].[2019.JUN]","","2019.JUN - Jun-19","","002")</f>
        <v>2019.JUN - Jun-19</v>
      </c>
      <c r="C151" t="str">
        <f xml:space="preserve"> _xll.EPMOlapMemberO("[PROFITCENTER].[PARENTH1].[2066602]","","2066602 - Quebec","","002")</f>
        <v>2066602 - Quebec</v>
      </c>
      <c r="E151">
        <v>-115620.94</v>
      </c>
      <c r="K151" s="7" t="e">
        <f>SUM(#REF!)</f>
        <v>#REF!</v>
      </c>
    </row>
    <row r="152" spans="2:11">
      <c r="B152" s="44" t="str">
        <f xml:space="preserve"> _xll.EPMOlapMemberO("[TIME].[PARENTH1].[2019.JUN]","","2019.JUN - Jun-19","","002")</f>
        <v>2019.JUN - Jun-19</v>
      </c>
      <c r="C152" t="str">
        <f xml:space="preserve"> _xll.EPMOlapMemberO("[PROFITCENTER].[PARENTH1].[2170602]","","2170602 - Core Stepper Sales - Quebec","","002")</f>
        <v>2170602 - Core Stepper Sales - Quebec</v>
      </c>
      <c r="E152">
        <v>-80336.78</v>
      </c>
      <c r="K152" s="7" t="e">
        <f>SUM(#REF!)</f>
        <v>#REF!</v>
      </c>
    </row>
    <row r="153" spans="2:11">
      <c r="B153" s="44" t="str">
        <f xml:space="preserve"> _xll.EPMOlapMemberO("[TIME].[PARENTH1].[2019.JUL]","","2019.JUL - Jul-19","","002")</f>
        <v>2019.JUL - Jul-19</v>
      </c>
      <c r="C153" t="str">
        <f xml:space="preserve"> _xll.EPMOlapMemberO("[PROFITCENTER].[PARENTH1].[9050041156]","","9050041156 - Canada Profit Elim P","","002")</f>
        <v>9050041156 - Canada Profit Elim P</v>
      </c>
      <c r="G153">
        <v>-0.01</v>
      </c>
      <c r="K153" s="7" t="e">
        <f>SUM(#REF!)</f>
        <v>#REF!</v>
      </c>
    </row>
    <row r="154" spans="2:11">
      <c r="B154" s="44" t="str">
        <f xml:space="preserve"> _xll.EPMOlapMemberO("[TIME].[PARENTH1].[2019.JUL]","","2019.JUL - Jul-19","","002")</f>
        <v>2019.JUL - Jul-19</v>
      </c>
      <c r="C154" t="str">
        <f xml:space="preserve"> _xll.EPMOlapMemberO("[PROFITCENTER].[PARENTH1].[2065602]","","2065602 - Ontario","","002")</f>
        <v>2065602 - Ontario</v>
      </c>
      <c r="E154">
        <v>-124978.21</v>
      </c>
      <c r="K154" s="7" t="e">
        <f>SUM(#REF!)</f>
        <v>#REF!</v>
      </c>
    </row>
    <row r="155" spans="2:11">
      <c r="B155" s="44" t="str">
        <f xml:space="preserve"> _xll.EPMOlapMemberO("[TIME].[PARENTH1].[2019.JUL]","","2019.JUL - Jul-19","","002")</f>
        <v>2019.JUL - Jul-19</v>
      </c>
      <c r="C155" t="str">
        <f xml:space="preserve"> _xll.EPMOlapMemberO("[PROFITCENTER].[PARENTH1].[2068602]","","2068602 - Poker Sales - Ontario (Product)","","002")</f>
        <v>2068602 - Poker Sales - Ontario (Product)</v>
      </c>
      <c r="E155">
        <v>-35040.089999999997</v>
      </c>
      <c r="K155" s="7" t="e">
        <f>SUM(#REF!)</f>
        <v>#REF!</v>
      </c>
    </row>
    <row r="156" spans="2:11">
      <c r="B156" s="44" t="str">
        <f xml:space="preserve"> _xll.EPMOlapMemberO("[TIME].[PARENTH1].[2019.JUL]","","2019.JUL - Jul-19","","002")</f>
        <v>2019.JUL - Jul-19</v>
      </c>
      <c r="C156" t="str">
        <f xml:space="preserve"> _xll.EPMOlapMemberO("[PROFITCENTER].[PARENTH1].[2160602]","","2160602 - Core Stepper Sales -","","002")</f>
        <v>2160602 - Core Stepper Sales -</v>
      </c>
      <c r="E156">
        <v>-6708.52</v>
      </c>
      <c r="K156" s="7" t="e">
        <f>SUM(#REF!)</f>
        <v>#REF!</v>
      </c>
    </row>
    <row r="157" spans="2:11">
      <c r="B157" s="44" t="str">
        <f xml:space="preserve"> _xll.EPMOlapMemberO("[TIME].[PARENTH1].[2019.AUG]","","2019.AUG - Aug-19","","002")</f>
        <v>2019.AUG - Aug-19</v>
      </c>
      <c r="C157" t="str">
        <f xml:space="preserve"> _xll.EPMOlapMemberO("[PROFITCENTER].[PARENTH1].[2162602]","","2162602 - ETG Sales Alberta","","002")</f>
        <v>2162602 - ETG Sales Alberta</v>
      </c>
      <c r="E157">
        <v>-211911.18</v>
      </c>
      <c r="K157" s="7" t="e">
        <f>SUM(#REF!)</f>
        <v>#REF!</v>
      </c>
    </row>
    <row r="158" spans="2:11">
      <c r="B158" s="44" t="str">
        <f xml:space="preserve"> _xll.EPMOlapMemberO("[TIME].[PARENTH1].[2019.AUG]","","2019.AUG - Aug-19","","002")</f>
        <v>2019.AUG - Aug-19</v>
      </c>
      <c r="C158" t="str">
        <f xml:space="preserve"> _xll.EPMOlapMemberO("[PROFITCENTER].[PARENTH1].[9050041156]","","9050041156 - Canada Profit Elim P","","002")</f>
        <v>9050041156 - Canada Profit Elim P</v>
      </c>
      <c r="G158">
        <v>-0.01</v>
      </c>
      <c r="K158" s="7" t="e">
        <f>SUM(#REF!)</f>
        <v>#REF!</v>
      </c>
    </row>
    <row r="159" spans="2:11">
      <c r="B159" s="44" t="str">
        <f xml:space="preserve"> _xll.EPMOlapMemberO("[TIME].[PARENTH1].[2019.AUG]","","2019.AUG - Aug-19","","002")</f>
        <v>2019.AUG - Aug-19</v>
      </c>
      <c r="C159" t="str">
        <f xml:space="preserve"> _xll.EPMOlapMemberO("[PROFITCENTER].[PARENTH1].[2065602]","","2065602 - Ontario","","002")</f>
        <v>2065602 - Ontario</v>
      </c>
      <c r="E159">
        <v>-567979.53</v>
      </c>
      <c r="K159" s="7" t="e">
        <f>SUM(#REF!)</f>
        <v>#REF!</v>
      </c>
    </row>
    <row r="160" spans="2:11">
      <c r="B160" s="44" t="str">
        <f xml:space="preserve"> _xll.EPMOlapMemberO("[TIME].[PARENTH1].[2019.AUG]","","2019.AUG - Aug-19","","002")</f>
        <v>2019.AUG - Aug-19</v>
      </c>
      <c r="C160" t="str">
        <f xml:space="preserve"> _xll.EPMOlapMemberO("[PROFITCENTER].[PARENTH1].[2068602]","","2068602 - Poker Sales - Ontario (Product)","","002")</f>
        <v>2068602 - Poker Sales - Ontario (Product)</v>
      </c>
      <c r="E160">
        <v>-28607.59</v>
      </c>
      <c r="K160" s="7" t="e">
        <f>SUM(#REF!)</f>
        <v>#REF!</v>
      </c>
    </row>
    <row r="161" spans="2:11">
      <c r="B161" s="44" t="str">
        <f xml:space="preserve"> _xll.EPMOlapMemberO("[TIME].[PARENTH1].[2019.SEP]","","2019.SEP - Sep-19","","002")</f>
        <v>2019.SEP - Sep-19</v>
      </c>
      <c r="C161" t="str">
        <f xml:space="preserve"> _xll.EPMOlapMemberO("[PROFITCENTER].[PARENTH1].[2074301]","","2074301 - Illinois","","002")</f>
        <v>2074301 - Illinois</v>
      </c>
      <c r="D161">
        <v>235.45</v>
      </c>
      <c r="K161" s="7" t="e">
        <f>SUM(#REF!)</f>
        <v>#REF!</v>
      </c>
    </row>
    <row r="162" spans="2:11">
      <c r="B162" s="44" t="str">
        <f xml:space="preserve"> _xll.EPMOlapMemberO("[TIME].[PARENTH1].[2019.SEP]","","2019.SEP - Sep-19","","002")</f>
        <v>2019.SEP - Sep-19</v>
      </c>
      <c r="C162" t="str">
        <f xml:space="preserve"> _xll.EPMOlapMemberO("[PROFITCENTER].[PARENTH1].[2130301]","","2130301 - Atlantic Lottery Video","","002")</f>
        <v>2130301 - Atlantic Lottery Video</v>
      </c>
      <c r="D162">
        <v>2260.52</v>
      </c>
      <c r="K162" s="7" t="e">
        <f>SUM(#REF!)</f>
        <v>#REF!</v>
      </c>
    </row>
    <row r="163" spans="2:11">
      <c r="B163" s="44" t="str">
        <f xml:space="preserve"> _xll.EPMOlapMemberO("[TIME].[PARENTH1].[2019.SEP]","","2019.SEP - Sep-19","","002")</f>
        <v>2019.SEP - Sep-19</v>
      </c>
      <c r="C163" t="str">
        <f xml:space="preserve"> _xll.EPMOlapMemberO("[PROFITCENTER].[PARENTH1].[2130602]","","2130602 - Atlantic Lottery VLT","","002")</f>
        <v>2130602 - Atlantic Lottery VLT</v>
      </c>
      <c r="E163">
        <v>-2865865.59</v>
      </c>
      <c r="K163" s="7" t="e">
        <f>SUM(#REF!)</f>
        <v>#REF!</v>
      </c>
    </row>
    <row r="164" spans="2:11">
      <c r="B164" s="44" t="str">
        <f xml:space="preserve"> _xll.EPMOlapMemberO("[TIME].[PARENTH1].[2019.SEP]","","2019.SEP - Sep-19","","002")</f>
        <v>2019.SEP - Sep-19</v>
      </c>
      <c r="C164" t="str">
        <f xml:space="preserve"> _xll.EPMOlapMemberO("[PROFITCENTER].[PARENTH1].[2066602]","","2066602 - Quebec","","002")</f>
        <v>2066602 - Quebec</v>
      </c>
      <c r="E164">
        <v>-151774.22</v>
      </c>
      <c r="K164" s="7" t="e">
        <f>SUM(#REF!)</f>
        <v>#REF!</v>
      </c>
    </row>
    <row r="165" spans="2:11">
      <c r="B165" s="44" t="str">
        <f xml:space="preserve"> _xll.EPMOlapMemberO("[TIME].[PARENTH1].[2019.SEP]","","2019.SEP - Sep-19","","002")</f>
        <v>2019.SEP - Sep-19</v>
      </c>
      <c r="C165" t="str">
        <f xml:space="preserve"> _xll.EPMOlapMemberO("[PROFITCENTER].[PARENTH1].[2170602]","","2170602 - Core Stepper Sales - Quebec","","002")</f>
        <v>2170602 - Core Stepper Sales - Quebec</v>
      </c>
      <c r="E165">
        <v>-13403.5</v>
      </c>
      <c r="K165" s="7" t="e">
        <f>SUM(#REF!)</f>
        <v>#REF!</v>
      </c>
    </row>
    <row r="166" spans="2:11">
      <c r="B166" s="44" t="str">
        <f xml:space="preserve"> _xll.EPMOlapMemberO("[TIME].[PARENTH1].[2019.SEP]","","2019.SEP - Sep-19","","002")</f>
        <v>2019.SEP - Sep-19</v>
      </c>
      <c r="C166" t="str">
        <f xml:space="preserve"> _xll.EPMOlapMemberO("[PROFITCENTER].[PARENTH1].[2067602]","","2067602 - Saskatchewan","","002")</f>
        <v>2067602 - Saskatchewan</v>
      </c>
      <c r="E166">
        <v>-196777.22</v>
      </c>
      <c r="K166" s="7" t="e">
        <f>SUM(#REF!)</f>
        <v>#REF!</v>
      </c>
    </row>
    <row r="167" spans="2:11">
      <c r="B167" s="44" t="str">
        <f xml:space="preserve"> _xll.EPMOlapMemberO("[TIME].[PARENTH1].[2019.OCT]","","2019.OCT - Oct-19","","002")</f>
        <v>2019.OCT - Oct-19</v>
      </c>
      <c r="C167" t="str">
        <f xml:space="preserve"> _xll.EPMOlapMemberO("[PROFITCENTER].[PARENTH1].[2074301]","","2074301 - Illinois","","002")</f>
        <v>2074301 - Illinois</v>
      </c>
      <c r="D167">
        <v>-470.9</v>
      </c>
      <c r="K167" s="7" t="e">
        <f>SUM(#REF!)</f>
        <v>#REF!</v>
      </c>
    </row>
    <row r="168" spans="2:11">
      <c r="B168" s="44" t="str">
        <f xml:space="preserve"> _xll.EPMOlapMemberO("[TIME].[PARENTH1].[2019.OCT]","","2019.OCT - Oct-19","","002")</f>
        <v>2019.OCT - Oct-19</v>
      </c>
      <c r="C168" t="str">
        <f xml:space="preserve"> _xll.EPMOlapMemberO("[PROFITCENTER].[PARENTH1].[2130301]","","2130301 - Atlantic Lottery Video","","002")</f>
        <v>2130301 - Atlantic Lottery Video</v>
      </c>
      <c r="D168">
        <v>-4521.04</v>
      </c>
      <c r="K168" s="7" t="e">
        <f>SUM(#REF!)</f>
        <v>#REF!</v>
      </c>
    </row>
    <row r="169" spans="2:11">
      <c r="B169" s="44" t="str">
        <f xml:space="preserve"> _xll.EPMOlapMemberO("[TIME].[PARENTH1].[2019.OCT]","","2019.OCT - Oct-19","","002")</f>
        <v>2019.OCT - Oct-19</v>
      </c>
      <c r="C169" t="str">
        <f xml:space="preserve"> _xll.EPMOlapMemberO("[PROFITCENTER].[PARENTH1].[2130602]","","2130602 - Atlantic Lottery VLT","","002")</f>
        <v>2130602 - Atlantic Lottery VLT</v>
      </c>
      <c r="E169">
        <v>1291732.4099999999</v>
      </c>
      <c r="K169" s="7" t="e">
        <f>SUM(#REF!)</f>
        <v>#REF!</v>
      </c>
    </row>
    <row r="170" spans="2:11">
      <c r="B170" s="44" t="str">
        <f xml:space="preserve"> _xll.EPMOlapMemberO("[TIME].[PARENTH1].[2019.OCT]","","2019.OCT - Oct-19","","002")</f>
        <v>2019.OCT - Oct-19</v>
      </c>
      <c r="C170" t="str">
        <f xml:space="preserve"> _xll.EPMOlapMemberO("[PROFITCENTER].[PARENTH1].[9050041156]","","9050041156 - Canada Profit Elim P","","002")</f>
        <v>9050041156 - Canada Profit Elim P</v>
      </c>
      <c r="G170">
        <v>-46090.82</v>
      </c>
      <c r="K170" s="7" t="e">
        <f>SUM(#REF!)</f>
        <v>#REF!</v>
      </c>
    </row>
    <row r="171" spans="2:11">
      <c r="B171" s="44" t="str">
        <f xml:space="preserve"> _xll.EPMOlapMemberO("[TIME].[PARENTH1].[2019.OCT]","","2019.OCT - Oct-19","","002")</f>
        <v>2019.OCT - Oct-19</v>
      </c>
      <c r="C171" t="str">
        <f xml:space="preserve"> _xll.EPMOlapMemberO("[PROFITCENTER].[PARENTH1].[2065602]","","2065602 - Ontario","","002")</f>
        <v>2065602 - Ontario</v>
      </c>
      <c r="E171">
        <v>-48757.46</v>
      </c>
      <c r="K171" s="7" t="e">
        <f>SUM(#REF!)</f>
        <v>#REF!</v>
      </c>
    </row>
    <row r="172" spans="2:11">
      <c r="B172" s="44" t="str">
        <f xml:space="preserve"> _xll.EPMOlapMemberO("[TIME].[PARENTH1].[2019.OCT]","","2019.OCT - Oct-19","","002")</f>
        <v>2019.OCT - Oct-19</v>
      </c>
      <c r="C172" t="str">
        <f xml:space="preserve"> _xll.EPMOlapMemberO("[PROFITCENTER].[PARENTH1].[2160602]","","2160602 - Core Stepper Sales -","","002")</f>
        <v>2160602 - Core Stepper Sales -</v>
      </c>
      <c r="E172">
        <v>-16725.37</v>
      </c>
      <c r="K172" s="7" t="e">
        <f>SUM(#REF!)</f>
        <v>#REF!</v>
      </c>
    </row>
    <row r="173" spans="2:11">
      <c r="B173" s="44" t="str">
        <f xml:space="preserve"> _xll.EPMOlapMemberO("[TIME].[PARENTH1].[2019.OCT]","","2019.OCT - Oct-19","","002")</f>
        <v>2019.OCT - Oct-19</v>
      </c>
      <c r="C173" t="str">
        <f xml:space="preserve"> _xll.EPMOlapMemberO("[PROFITCENTER].[PARENTH1].[2067602]","","2067602 - Saskatchewan","","002")</f>
        <v>2067602 - Saskatchewan</v>
      </c>
      <c r="E173">
        <v>-1111</v>
      </c>
      <c r="K173" s="7" t="e">
        <f>SUM(#REF!)</f>
        <v>#REF!</v>
      </c>
    </row>
    <row r="174" spans="2:11">
      <c r="B174" s="44" t="str">
        <f xml:space="preserve"> _xll.EPMOlapMemberO("[TIME].[PARENTH1].[2019.OCT]","","2019.OCT - Oct-19","","002")</f>
        <v>2019.OCT - Oct-19</v>
      </c>
      <c r="C174" t="str">
        <f xml:space="preserve"> _xll.EPMOlapMemberO("[PROFITCENTER].[PARENTH1].[2363602]","","2363602 - Nova Scotia","","002")</f>
        <v>2363602 - Nova Scotia</v>
      </c>
      <c r="E174">
        <v>-43128.08</v>
      </c>
      <c r="K174" s="7" t="e">
        <f>SUM(#REF!)</f>
        <v>#REF!</v>
      </c>
    </row>
    <row r="175" spans="2:11">
      <c r="B175" s="44" t="str">
        <f xml:space="preserve"> _xll.EPMOlapMemberO("[TIME].[PARENTH1].[2019.OCT]","","2019.OCT - Oct-19","","002")</f>
        <v>2019.OCT - Oct-19</v>
      </c>
      <c r="C175" t="str">
        <f xml:space="preserve"> _xll.EPMOlapMemberO("[PROFITCENTER].[PARENTH1].[2171602]","","2171602 - Yukon Sales","","002")</f>
        <v>2171602 - Yukon Sales</v>
      </c>
      <c r="E175">
        <v>-56328.25</v>
      </c>
      <c r="K175" s="7" t="e">
        <f>SUM(#REF!)</f>
        <v>#REF!</v>
      </c>
    </row>
    <row r="176" spans="2:11">
      <c r="B176" s="44" t="str">
        <f xml:space="preserve"> _xll.EPMOlapMemberO("[TIME].[PARENTH1].[2019.OCT]","","2019.OCT - Oct-19","","002")</f>
        <v>2019.OCT - Oct-19</v>
      </c>
      <c r="C176" t="str">
        <f xml:space="preserve"> _xll.EPMOlapMemberO("[PROFITCENTER].[PARENTH1].[2172602]","","2172602 - Core Stepper Sales - Yukon","","002")</f>
        <v>2172602 - Core Stepper Sales - Yukon</v>
      </c>
      <c r="E176">
        <v>-30999.06</v>
      </c>
      <c r="K176" s="7" t="e">
        <f>SUM(#REF!)</f>
        <v>#REF!</v>
      </c>
    </row>
    <row r="177" spans="2:11">
      <c r="B177" s="44" t="str">
        <f xml:space="preserve"> _xll.EPMOlapMemberO("[TIME].[PARENTH1].[2019.NOV]","","2019.NOV - Nov-19","","002")</f>
        <v>2019.NOV - Nov-19</v>
      </c>
      <c r="C177" t="str">
        <f xml:space="preserve"> _xll.EPMOlapMemberO("[PROFITCENTER].[PARENTH1].[2062602]","","2062602 - British Columbia","","002")</f>
        <v>2062602 - British Columbia</v>
      </c>
      <c r="E177">
        <v>-159010.43</v>
      </c>
      <c r="K177" s="7" t="e">
        <f>SUM(#REF!)</f>
        <v>#REF!</v>
      </c>
    </row>
    <row r="178" spans="2:11">
      <c r="B178" s="44" t="str">
        <f xml:space="preserve"> _xll.EPMOlapMemberO("[TIME].[PARENTH1].[2019.NOV]","","2019.NOV - Nov-19","","002")</f>
        <v>2019.NOV - Nov-19</v>
      </c>
      <c r="C178" t="str">
        <f xml:space="preserve"> _xll.EPMOlapMemberO("[PROFITCENTER].[PARENTH1].[9050041156]","","9050041156 - Canada Profit Elim P","","002")</f>
        <v>9050041156 - Canada Profit Elim P</v>
      </c>
      <c r="G178">
        <v>-606965.14</v>
      </c>
      <c r="K178" s="7" t="e">
        <f>SUM(#REF!)</f>
        <v>#REF!</v>
      </c>
    </row>
    <row r="179" spans="2:11">
      <c r="B179" s="44" t="str">
        <f xml:space="preserve"> _xll.EPMOlapMemberO("[TIME].[PARENTH1].[2019.NOV]","","2019.NOV - Nov-19","","002")</f>
        <v>2019.NOV - Nov-19</v>
      </c>
      <c r="C179" t="str">
        <f xml:space="preserve"> _xll.EPMOlapMemberO("[PROFITCENTER].[PARENTH1].[2065602]","","2065602 - Ontario","","002")</f>
        <v>2065602 - Ontario</v>
      </c>
      <c r="E179">
        <v>-552165.78</v>
      </c>
      <c r="K179" s="7" t="e">
        <f>SUM(#REF!)</f>
        <v>#REF!</v>
      </c>
    </row>
    <row r="180" spans="2:11">
      <c r="B180" s="44" t="str">
        <f xml:space="preserve"> _xll.EPMOlapMemberO("[TIME].[PARENTH1].[2019.NOV]","","2019.NOV - Nov-19","","002")</f>
        <v>2019.NOV - Nov-19</v>
      </c>
      <c r="C180" t="str">
        <f xml:space="preserve"> _xll.EPMOlapMemberO("[PROFITCENTER].[PARENTH1].[2155602]","","2155602 - ETG Sales - Ontario","","002")</f>
        <v>2155602 - ETG Sales - Ontario</v>
      </c>
      <c r="E180">
        <v>-31169.599999999999</v>
      </c>
      <c r="K180" s="7" t="e">
        <f>SUM(#REF!)</f>
        <v>#REF!</v>
      </c>
    </row>
    <row r="181" spans="2:11">
      <c r="B181" s="44" t="str">
        <f xml:space="preserve"> _xll.EPMOlapMemberO("[TIME].[PARENTH1].[2019.NOV]","","2019.NOV - Nov-19","","002")</f>
        <v>2019.NOV - Nov-19</v>
      </c>
      <c r="C181" t="str">
        <f xml:space="preserve"> _xll.EPMOlapMemberO("[PROFITCENTER].[PARENTH1].[2160602]","","2160602 - Core Stepper Sales -","","002")</f>
        <v>2160602 - Core Stepper Sales -</v>
      </c>
      <c r="E181">
        <v>-265769.82</v>
      </c>
      <c r="K181" s="7" t="e">
        <f>SUM(#REF!)</f>
        <v>#REF!</v>
      </c>
    </row>
    <row r="182" spans="2:11">
      <c r="B182" s="44" t="str">
        <f xml:space="preserve"> _xll.EPMOlapMemberO("[TIME].[PARENTH1].[2019.NOV]","","2019.NOV - Nov-19","","002")</f>
        <v>2019.NOV - Nov-19</v>
      </c>
      <c r="C182" t="str">
        <f xml:space="preserve"> _xll.EPMOlapMemberO("[PROFITCENTER].[PARENTH1].[2067602]","","2067602 - Saskatchewan","","002")</f>
        <v>2067602 - Saskatchewan</v>
      </c>
      <c r="E182">
        <v>-370.76</v>
      </c>
      <c r="K182" s="7" t="e">
        <f>SUM(#REF!)</f>
        <v>#REF!</v>
      </c>
    </row>
    <row r="183" spans="2:11">
      <c r="B183" s="44" t="str">
        <f xml:space="preserve"> _xll.EPMOlapMemberO("[TIME].[PARENTH1].[2019.DEC]","","2019.DEC - Dec-19","","002")</f>
        <v>2019.DEC - Dec-19</v>
      </c>
      <c r="C183" t="str">
        <f xml:space="preserve"> _xll.EPMOlapMemberO("[PROFITCENTER].[PARENTH1].[2062602]","","2062602 - British Columbia","","002")</f>
        <v>2062602 - British Columbia</v>
      </c>
      <c r="E183">
        <v>-86882.49</v>
      </c>
      <c r="K183" s="7" t="e">
        <f>SUM(#REF!)</f>
        <v>#REF!</v>
      </c>
    </row>
    <row r="184" spans="2:11">
      <c r="B184" s="44" t="str">
        <f xml:space="preserve"> _xll.EPMOlapMemberO("[TIME].[PARENTH1].[2019.DEC]","","2019.DEC - Dec-19","","002")</f>
        <v>2019.DEC - Dec-19</v>
      </c>
      <c r="C184" t="str">
        <f xml:space="preserve"> _xll.EPMOlapMemberO("[PROFITCENTER].[PARENTH1].[2065602]","","2065602 - Ontario","","002")</f>
        <v>2065602 - Ontario</v>
      </c>
      <c r="E184">
        <v>-323451.77</v>
      </c>
      <c r="K184" s="7" t="e">
        <f>SUM(#REF!)</f>
        <v>#REF!</v>
      </c>
    </row>
    <row r="185" spans="2:11">
      <c r="B185" s="44" t="str">
        <f xml:space="preserve"> _xll.EPMOlapMemberO("[TIME].[PARENTH1].[2019.DEC]","","2019.DEC - Dec-19","","002")</f>
        <v>2019.DEC - Dec-19</v>
      </c>
      <c r="C185" t="str">
        <f xml:space="preserve"> _xll.EPMOlapMemberO("[PROFITCENTER].[PARENTH1].[2160602]","","2160602 - Core Stepper Sales -","","002")</f>
        <v>2160602 - Core Stepper Sales -</v>
      </c>
      <c r="E185">
        <v>-62319.88</v>
      </c>
      <c r="K185" s="7" t="e">
        <f>SUM(#REF!)</f>
        <v>#REF!</v>
      </c>
    </row>
    <row r="186" spans="2:11">
      <c r="B186" s="44" t="str">
        <f xml:space="preserve"> _xll.EPMOlapMemberO("[TIME].[PARENTH1].[2019.DEC]","","2019.DEC - Dec-19","","002")</f>
        <v>2019.DEC - Dec-19</v>
      </c>
      <c r="C186" t="str">
        <f xml:space="preserve"> _xll.EPMOlapMemberO("[PROFITCENTER].[PARENTH1].[2066602]","","2066602 - Quebec","","002")</f>
        <v>2066602 - Quebec</v>
      </c>
      <c r="E186">
        <v>-123839.9</v>
      </c>
      <c r="K186" s="7" t="e">
        <f>SUM(#REF!)</f>
        <v>#REF!</v>
      </c>
    </row>
    <row r="187" spans="2:11">
      <c r="B187" s="44" t="str">
        <f xml:space="preserve"> _xll.EPMOlapMemberO("[TIME].[PARENTH1].[2019.DEC]","","2019.DEC - Dec-19","","002")</f>
        <v>2019.DEC - Dec-19</v>
      </c>
      <c r="C187" t="str">
        <f xml:space="preserve"> _xll.EPMOlapMemberO("[PROFITCENTER].[PARENTH1].[2067602]","","2067602 - Saskatchewan","","002")</f>
        <v>2067602 - Saskatchewan</v>
      </c>
      <c r="E187">
        <v>-370</v>
      </c>
      <c r="K187" s="7" t="e">
        <f>SUM(#REF!)</f>
        <v>#REF!</v>
      </c>
    </row>
    <row r="188" spans="2:11">
      <c r="B188" s="44" t="str">
        <f xml:space="preserve"> _xll.EPMOlapMemberO("[TIME].[PARENTH1].[2019.DEC]","","2019.DEC - Dec-19","","002")</f>
        <v>2019.DEC - Dec-19</v>
      </c>
      <c r="C188" t="str">
        <f xml:space="preserve"> _xll.EPMOlapMemberO("[PROFITCENTER].[PARENTH1].[2133602]","","2133602 - Saskatchewan VLT","","002")</f>
        <v>2133602 - Saskatchewan VLT</v>
      </c>
      <c r="E188">
        <v>-3185770</v>
      </c>
      <c r="K188" s="7" t="e">
        <f>SUM(#REF!)</f>
        <v>#REF!</v>
      </c>
    </row>
    <row r="189" spans="2:11">
      <c r="B189" s="44" t="str">
        <f xml:space="preserve"> _xll.EPMOlapMemberO("[TIME].[PARENTH1].[2020.JAN]","","2020.JAN - Jan-20","","002")</f>
        <v>2020.JAN - Jan-20</v>
      </c>
      <c r="C189" t="str">
        <f xml:space="preserve"> _xll.EPMOlapMemberO("[PROFITCENTER].[PARENTH1].[2062602]","","2062602 - British Columbia","","002")</f>
        <v>2062602 - British Columbia</v>
      </c>
      <c r="E189">
        <v>-184.75</v>
      </c>
      <c r="K189" s="7" t="e">
        <f>SUM(#REF!)</f>
        <v>#REF!</v>
      </c>
    </row>
    <row r="190" spans="2:11">
      <c r="B190" s="44" t="str">
        <f xml:space="preserve"> _xll.EPMOlapMemberO("[TIME].[PARENTH1].[2020.JAN]","","2020.JAN - Jan-20","","002")</f>
        <v>2020.JAN - Jan-20</v>
      </c>
      <c r="C190" t="str">
        <f xml:space="preserve"> _xll.EPMOlapMemberO("[PROFITCENTER].[PARENTH1].[9050041156]","","9050041156 - Canada Profit Elim P","","002")</f>
        <v>9050041156 - Canada Profit Elim P</v>
      </c>
      <c r="G190">
        <v>12761.1</v>
      </c>
      <c r="K190" s="7" t="e">
        <f>SUM(#REF!)</f>
        <v>#REF!</v>
      </c>
    </row>
    <row r="191" spans="2:11">
      <c r="B191" s="44" t="str">
        <f xml:space="preserve"> _xll.EPMOlapMemberO("[TIME].[PARENTH1].[2020.JAN]","","2020.JAN - Jan-20","","002")</f>
        <v>2020.JAN - Jan-20</v>
      </c>
      <c r="C191" t="str">
        <f xml:space="preserve"> _xll.EPMOlapMemberO("[PROFITCENTER].[PARENTH1].[2066602]","","2066602 - Quebec","","002")</f>
        <v>2066602 - Quebec</v>
      </c>
      <c r="E191">
        <v>-185.33</v>
      </c>
      <c r="K191" s="7" t="e">
        <f>SUM(#REF!)</f>
        <v>#REF!</v>
      </c>
    </row>
    <row r="192" spans="2:11">
      <c r="B192" s="44" t="str">
        <f xml:space="preserve"> _xll.EPMOlapMemberO("[TIME].[PARENTH1].[2020.FEB]","","2020.FEB - Feb-20","","002")</f>
        <v>2020.FEB - Feb-20</v>
      </c>
      <c r="C192" t="str">
        <f xml:space="preserve"> _xll.EPMOlapMemberO("[PROFITCENTER].[PARENTH1].[2062602]","","2062602 - British Columbia","","002")</f>
        <v>2062602 - British Columbia</v>
      </c>
      <c r="E192">
        <v>-67766.899999999994</v>
      </c>
      <c r="K192" s="7" t="e">
        <f>SUM(#REF!)</f>
        <v>#REF!</v>
      </c>
    </row>
    <row r="193" spans="2:11">
      <c r="B193" s="44" t="str">
        <f xml:space="preserve"> _xll.EPMOlapMemberO("[TIME].[PARENTH1].[2020.FEB]","","2020.FEB - Feb-20","","002")</f>
        <v>2020.FEB - Feb-20</v>
      </c>
      <c r="C193" t="str">
        <f xml:space="preserve"> _xll.EPMOlapMemberO("[PROFITCENTER].[PARENTH1].[2066602]","","2066602 - Quebec","","002")</f>
        <v>2066602 - Quebec</v>
      </c>
      <c r="E193">
        <v>-48497.04</v>
      </c>
      <c r="K193" s="7" t="e">
        <f>SUM(#REF!)</f>
        <v>#REF!</v>
      </c>
    </row>
    <row r="194" spans="2:11">
      <c r="B194" s="44" t="str">
        <f xml:space="preserve"> _xll.EPMOlapMemberO("[TIME].[PARENTH1].[2020.MAR]","","2020.MAR - Mar-20","","002")</f>
        <v>2020.MAR - Mar-20</v>
      </c>
      <c r="C194" t="str">
        <f xml:space="preserve"> _xll.EPMOlapMemberO("[PROFITCENTER].[PARENTH1].[2062602]","","2062602 - British Columbia","","002")</f>
        <v>2062602 - British Columbia</v>
      </c>
      <c r="E194">
        <v>-50898.75</v>
      </c>
      <c r="K194" s="7" t="e">
        <f>SUM(#REF!)</f>
        <v>#REF!</v>
      </c>
    </row>
    <row r="195" spans="2:11">
      <c r="B195" s="44" t="str">
        <f xml:space="preserve"> _xll.EPMOlapMemberO("[TIME].[PARENTH1].[2020.MAR]","","2020.MAR - Mar-20","","002")</f>
        <v>2020.MAR - Mar-20</v>
      </c>
      <c r="C195" t="str">
        <f xml:space="preserve"> _xll.EPMOlapMemberO("[PROFITCENTER].[PARENTH1].[2156602]","","2156602 - ETG Sales - British Colombia","","002")</f>
        <v>2156602 - ETG Sales - British Colombia</v>
      </c>
      <c r="E195">
        <v>-1680.08</v>
      </c>
      <c r="K195" s="7" t="e">
        <f>SUM(#REF!)</f>
        <v>#REF!</v>
      </c>
    </row>
    <row r="196" spans="2:11">
      <c r="B196" s="44" t="str">
        <f xml:space="preserve"> _xll.EPMOlapMemberO("[TIME].[PARENTH1].[2020.MAR]","","2020.MAR - Mar-20","","002")</f>
        <v>2020.MAR - Mar-20</v>
      </c>
      <c r="C196" t="str">
        <f xml:space="preserve"> _xll.EPMOlapMemberO("[PROFITCENTER].[PARENTH1].[2066602]","","2066602 - Quebec","","002")</f>
        <v>2066602 - Quebec</v>
      </c>
      <c r="E196">
        <v>-1755.06</v>
      </c>
      <c r="K196" s="7" t="e">
        <f>SUM(#REF!)</f>
        <v>#REF!</v>
      </c>
    </row>
    <row r="197" spans="2:11">
      <c r="B197" s="44" t="str">
        <f xml:space="preserve"> _xll.EPMOlapMemberO("[TIME].[PARENTH1].[2020.MAR]","","2020.MAR - Mar-20","","002")</f>
        <v>2020.MAR - Mar-20</v>
      </c>
      <c r="C197" t="str">
        <f xml:space="preserve"> _xll.EPMOlapMemberO("[PROFITCENTER].[PARENTH1].[2067602]","","2067602 - Saskatchewan","","002")</f>
        <v>2067602 - Saskatchewan</v>
      </c>
      <c r="E197">
        <v>-68443.56</v>
      </c>
      <c r="K197" s="7" t="e">
        <f>SUM(#REF!)</f>
        <v>#REF!</v>
      </c>
    </row>
    <row r="198" spans="2:11">
      <c r="B198" s="44" t="str">
        <f xml:space="preserve"> _xll.EPMOlapMemberO("[TIME].[PARENTH1].[2020.APR]","","2020.APR - Apr-20","","002")</f>
        <v>2020.APR - Apr-20</v>
      </c>
      <c r="C198" t="str">
        <f xml:space="preserve"> _xll.EPMOlapMemberO("[PROFITCENTER].[PARENTH1].[9050041156]","","9050041156 - Canada Profit Elim P","","002")</f>
        <v>9050041156 - Canada Profit Elim P</v>
      </c>
      <c r="G198">
        <v>12674.84</v>
      </c>
      <c r="K198" s="7" t="e">
        <f>SUM(#REF!)</f>
        <v>#REF!</v>
      </c>
    </row>
    <row r="199" spans="2:11">
      <c r="B199" s="44" t="str">
        <f xml:space="preserve"> _xll.EPMOlapMemberO("[TIME].[PARENTH1].[2020.MAY]","","2020.MAY - May-20","","002")</f>
        <v>2020.MAY - May-20</v>
      </c>
      <c r="C199" t="str">
        <f xml:space="preserve"> _xll.EPMOlapMemberO("[PROFITCENTER].[PARENTH1].[9050041156]","","9050041156 - Canada Profit Elim P","","002")</f>
        <v>9050041156 - Canada Profit Elim P</v>
      </c>
      <c r="G199">
        <v>-12674.84</v>
      </c>
      <c r="K199" s="7" t="e">
        <f>SUM(#REF!)</f>
        <v>#REF!</v>
      </c>
    </row>
    <row r="200" spans="2:11">
      <c r="B200" s="44" t="str">
        <f xml:space="preserve"> _xll.EPMOlapMemberO("[TIME].[PARENTH1].[2020.JUN]","","2020.JUN - Jun-20","","002")</f>
        <v>2020.JUN - Jun-20</v>
      </c>
      <c r="C200" t="str">
        <f xml:space="preserve"> _xll.EPMOlapMemberO("[PROFITCENTER].[PARENTH1].[2267602]","","2267602 - Oregon Video","","002")</f>
        <v>2267602 - Oregon Video</v>
      </c>
      <c r="E200">
        <v>-524114</v>
      </c>
      <c r="K200" s="7" t="e">
        <f>SUM(#REF!)</f>
        <v>#REF!</v>
      </c>
    </row>
    <row r="201" spans="2:11">
      <c r="B201" s="44" t="str">
        <f xml:space="preserve"> _xll.EPMOlapMemberO("[TIME].[PARENTH1].[2020.JUN]","","2020.JUN - Jun-20","","002")</f>
        <v>2020.JUN - Jun-20</v>
      </c>
      <c r="C201" t="str">
        <f xml:space="preserve"> _xll.EPMOlapMemberO("[PROFITCENTER].[PARENTH1].[2162602]","","2162602 - ETG Sales Alberta","","002")</f>
        <v>2162602 - ETG Sales Alberta</v>
      </c>
      <c r="E201">
        <v>-58847.53</v>
      </c>
      <c r="K201" s="7" t="e">
        <f>SUM(#REF!)</f>
        <v>#REF!</v>
      </c>
    </row>
    <row r="202" spans="2:11">
      <c r="B202" s="44" t="str">
        <f xml:space="preserve"> _xll.EPMOlapMemberO("[TIME].[PARENTH1].[2020.JUL]","","2020.JUL - Jul-20","","002")</f>
        <v>2020.JUL - Jul-20</v>
      </c>
      <c r="C202" t="str">
        <f xml:space="preserve"> _xll.EPMOlapMemberO("[PROFITCENTER].[PARENTH1].[2062602]","","2062602 - British Columbia","","002")</f>
        <v>2062602 - British Columbia</v>
      </c>
      <c r="E202">
        <v>-138108.19</v>
      </c>
      <c r="K202" s="7" t="e">
        <f>SUM(#REF!)</f>
        <v>#REF!</v>
      </c>
    </row>
    <row r="203" spans="2:11">
      <c r="B203" s="44" t="str">
        <f xml:space="preserve"> _xll.EPMOlapMemberO("[TIME].[PARENTH1].[2020.JUL]","","2020.JUL - Jul-20","","002")</f>
        <v>2020.JUL - Jul-20</v>
      </c>
      <c r="C203" t="str">
        <f xml:space="preserve"> _xll.EPMOlapMemberO("[PROFITCENTER].[PARENTH1].[2156602]","","2156602 - ETG Sales - British Colombia","","002")</f>
        <v>2156602 - ETG Sales - British Colombia</v>
      </c>
      <c r="E203">
        <v>-64013.7</v>
      </c>
      <c r="K203" s="7" t="e">
        <f>SUM(#REF!)</f>
        <v>#REF!</v>
      </c>
    </row>
    <row r="204" spans="2:11">
      <c r="B204" s="44" t="str">
        <f xml:space="preserve"> _xll.EPMOlapMemberO("[TIME].[PARENTH1].[2020.SEP]","","2020.SEP - Sep-20","","002")</f>
        <v>2020.SEP - Sep-20</v>
      </c>
      <c r="C204" t="str">
        <f xml:space="preserve"> _xll.EPMOlapMemberO("[PROFITCENTER].[PARENTH1].[2267602]","","2267602 - Oregon Video","","002")</f>
        <v>2267602 - Oregon Video</v>
      </c>
      <c r="E204">
        <v>-259582.32</v>
      </c>
      <c r="K204" s="7" t="e">
        <f>SUM(#REF!)</f>
        <v>#REF!</v>
      </c>
    </row>
    <row r="205" spans="2:11">
      <c r="B205" s="44" t="str">
        <f xml:space="preserve"> _xll.EPMOlapMemberO("[TIME].[PARENTH1].[2020.SEP]","","2020.SEP - Sep-20","","002")</f>
        <v>2020.SEP - Sep-20</v>
      </c>
      <c r="C205" t="str">
        <f xml:space="preserve"> _xll.EPMOlapMemberO("[PROFITCENTER].[PARENTH1].[9050041156]","","9050041156 - Canada Profit Elim P","","002")</f>
        <v>9050041156 - Canada Profit Elim P</v>
      </c>
      <c r="G205">
        <v>143.08000000000001</v>
      </c>
      <c r="K205" s="7" t="e">
        <f>SUM(#REF!)</f>
        <v>#REF!</v>
      </c>
    </row>
    <row r="206" spans="2:11">
      <c r="B206" s="44" t="str">
        <f xml:space="preserve"> _xll.EPMOlapMemberO("[TIME].[PARENTH1].[2020.SEP]","","2020.SEP - Sep-20","","002")</f>
        <v>2020.SEP - Sep-20</v>
      </c>
      <c r="C206" t="str">
        <f xml:space="preserve"> _xll.EPMOlapMemberO("[PROFITCENTER].[PARENTH1].[2065602]","","2065602 - Ontario","","002")</f>
        <v>2065602 - Ontario</v>
      </c>
      <c r="E206">
        <v>-31534.639999999999</v>
      </c>
      <c r="K206" s="7" t="e">
        <f>SUM(#REF!)</f>
        <v>#REF!</v>
      </c>
    </row>
    <row r="207" spans="2:11">
      <c r="B207" s="44" t="str">
        <f xml:space="preserve"> _xll.EPMOlapMemberO("[TIME].[PARENTH1].[2020.OCT]","","2020.OCT - Oct-20","","002")</f>
        <v>2020.OCT - Oct-20</v>
      </c>
      <c r="C207" t="str">
        <f xml:space="preserve"> _xll.EPMOlapMemberO("[PROFITCENTER].[PARENTH1].[2156602]","","2156602 - ETG Sales - British Colombia","","002")</f>
        <v>2156602 - ETG Sales - British Colombia</v>
      </c>
      <c r="E207">
        <v>-63123.4</v>
      </c>
      <c r="K207" s="7" t="e">
        <f>SUM(#REF!)</f>
        <v>#REF!</v>
      </c>
    </row>
    <row r="208" spans="2:11">
      <c r="B208" s="44" t="str">
        <f xml:space="preserve"> _xll.EPMOlapMemberO("[TIME].[PARENTH1].[2020.NOV]","","2020.NOV - Nov-20","","002")</f>
        <v>2020.NOV - Nov-20</v>
      </c>
      <c r="C208" t="str">
        <f xml:space="preserve"> _xll.EPMOlapMemberO("[PROFITCENTER].[PARENTH1].[2066602]","","2066602 - Quebec","","002")</f>
        <v>2066602 - Quebec</v>
      </c>
      <c r="E208">
        <v>-182614.34</v>
      </c>
    </row>
    <row r="209" spans="2:7">
      <c r="B209" s="44" t="str">
        <f xml:space="preserve"> _xll.EPMOlapMemberO("[TIME].[PARENTH1].[2020.NOV]","","2020.NOV - Nov-20","","002")</f>
        <v>2020.NOV - Nov-20</v>
      </c>
      <c r="C209" t="str">
        <f xml:space="preserve"> _xll.EPMOlapMemberO("[PROFITCENTER].[PARENTH1].[2401602]","","2401602 - Poker Sales - Quebec","","002")</f>
        <v>2401602 - Poker Sales - Quebec</v>
      </c>
      <c r="E209">
        <v>-6991.56</v>
      </c>
    </row>
    <row r="210" spans="2:7">
      <c r="B210" s="44" t="str">
        <f xml:space="preserve"> _xll.EPMOlapMemberO("[TIME].[PARENTH1].[2020.DEC]","","2020.DEC - Dec-20","","002")</f>
        <v>2020.DEC - Dec-20</v>
      </c>
      <c r="C210" t="str">
        <f xml:space="preserve"> _xll.EPMOlapMemberO("[PROFITCENTER].[PARENTH1].[2156602]","","2156602 - ETG Sales - British Colombia","","002")</f>
        <v>2156602 - ETG Sales - British Colombia</v>
      </c>
      <c r="E210">
        <v>3275.52</v>
      </c>
    </row>
    <row r="211" spans="2:7">
      <c r="B211" s="44" t="str">
        <f xml:space="preserve"> _xll.EPMOlapMemberO("[TIME].[PARENTH1].[2020.DEC]","","2020.DEC - Dec-20","","002")</f>
        <v>2020.DEC - Dec-20</v>
      </c>
      <c r="C211" t="str">
        <f xml:space="preserve"> _xll.EPMOlapMemberO("[PROFITCENTER].[PARENTH1].[9050041156]","","9050041156 - Canada Profit Elim P","","002")</f>
        <v>9050041156 - Canada Profit Elim P</v>
      </c>
      <c r="G211">
        <v>-50.27</v>
      </c>
    </row>
    <row r="212" spans="2:7">
      <c r="B212" s="44" t="str">
        <f xml:space="preserve"> _xll.EPMOlapMemberO("[TIME].[PARENTH1].[2020.DEC]","","2020.DEC - Dec-20","","002")</f>
        <v>2020.DEC - Dec-20</v>
      </c>
      <c r="C212" t="str">
        <f xml:space="preserve"> _xll.EPMOlapMemberO("[PROFITCENTER].[PARENTH1].[2066602]","","2066602 - Quebec","","002")</f>
        <v>2066602 - Quebec</v>
      </c>
      <c r="E212">
        <v>-5778.39</v>
      </c>
    </row>
    <row r="213" spans="2:7">
      <c r="B213" s="44" t="str">
        <f xml:space="preserve"> _xll.EPMOlapMemberO("[TIME].[PARENTH1].[2020.DEC]","","2020.DEC - Dec-20","","002")</f>
        <v>2020.DEC - Dec-20</v>
      </c>
      <c r="C213" t="str">
        <f xml:space="preserve"> _xll.EPMOlapMemberO("[PROFITCENTER].[PARENTH1].[2170602]","","2170602 - Core Stepper Sales - Quebec","","002")</f>
        <v>2170602 - Core Stepper Sales - Quebec</v>
      </c>
      <c r="E213">
        <v>-2018.88</v>
      </c>
    </row>
    <row r="214" spans="2:7">
      <c r="B214" t="str">
        <f xml:space="preserve"> _xll.EPMOlapMemberO("[TIME].[PARENTH1].[2021.JAN]","","2021.JAN - Jan-21","","002")</f>
        <v>2021.JAN - Jan-21</v>
      </c>
      <c r="C214" t="str">
        <f xml:space="preserve"> _xll.EPMOlapMemberO("[PROFITCENTER].[PARENTH1].[2267602]","","2267602 - Oregon Video","","002")</f>
        <v>2267602 - Oregon Video</v>
      </c>
      <c r="E214">
        <v>-309075.48</v>
      </c>
    </row>
    <row r="215" spans="2:7">
      <c r="B215" t="str">
        <f xml:space="preserve"> _xll.EPMOlapMemberO("[TIME].[PARENTH1].[2021.JAN]","","2021.JAN - Jan-21","","002")</f>
        <v>2021.JAN - Jan-21</v>
      </c>
      <c r="C215" t="str">
        <f xml:space="preserve"> _xll.EPMOlapMemberO("[PROFITCENTER].[PARENTH1].[2062602]","","2062602 - British Columbia","","002")</f>
        <v>2062602 - British Columbia</v>
      </c>
      <c r="E215">
        <v>-3965.52</v>
      </c>
    </row>
    <row r="216" spans="2:7">
      <c r="B216" t="str">
        <f xml:space="preserve"> _xll.EPMOlapMemberO("[TIME].[PARENTH1].[2021.FEB]","","2021.FEB - Feb-21","","002")</f>
        <v>2021.FEB - Feb-21</v>
      </c>
      <c r="C216" t="str">
        <f xml:space="preserve"> _xll.EPMOlapMemberO("[PROFITCENTER].[PARENTH1].[2267602]","","2267602 - Oregon Video","","002")</f>
        <v>2267602 - Oregon Video</v>
      </c>
      <c r="E216">
        <v>-582345.12</v>
      </c>
    </row>
    <row r="217" spans="2:7">
      <c r="B217" t="str">
        <f xml:space="preserve"> _xll.EPMOlapMemberO("[TIME].[PARENTH1].[2021.JUN]","","2021.JUN - Jun-21","","002")</f>
        <v>2021.JUN - Jun-21</v>
      </c>
      <c r="C217" t="str">
        <f xml:space="preserve"> _xll.EPMOlapMemberO("[PROFITCENTER].[PARENTH1].[2267602]","","2267602 - Oregon Video","","002")</f>
        <v>2267602 - Oregon Video</v>
      </c>
      <c r="E217">
        <v>-390935.16</v>
      </c>
    </row>
    <row r="218" spans="2:7">
      <c r="B218" t="str">
        <f xml:space="preserve"> _xll.EPMOlapMemberO("[TIME].[PARENTH1].[2021.JUN]","","2021.JUN - Jun-21","","002")</f>
        <v>2021.JUN - Jun-21</v>
      </c>
      <c r="C218" t="str">
        <f xml:space="preserve"> _xll.EPMOlapMemberO("[PROFITCENTER].[PARENTH1].[2131602]","","2131602 - Alberta VLT","","002")</f>
        <v>2131602 - Alberta VLT</v>
      </c>
      <c r="E218">
        <v>-395818.92</v>
      </c>
    </row>
    <row r="219" spans="2:7">
      <c r="B219" t="str">
        <f xml:space="preserve"> _xll.EPMOlapMemberO("[TIME].[PARENTH1].[2021.JUL]","","2021.JUL - Jul-21","","002")</f>
        <v>2021.JUL - Jul-21</v>
      </c>
      <c r="C219" t="str">
        <f xml:space="preserve"> _xll.EPMOlapMemberO("[PROFITCENTER].[PARENTH1].[2267602]","","2267602 - Oregon Video","","002")</f>
        <v>2267602 - Oregon Video</v>
      </c>
      <c r="E219">
        <v>-84116.34</v>
      </c>
    </row>
    <row r="220" spans="2:7">
      <c r="B220" t="str">
        <f xml:space="preserve"> _xll.EPMOlapMemberO("[TIME].[PARENTH1].[2021.JUL]","","2021.JUL - Jul-21","","002")</f>
        <v>2021.JUL - Jul-21</v>
      </c>
      <c r="C220" t="str">
        <f xml:space="preserve"> _xll.EPMOlapMemberO("[PROFITCENTER].[PARENTH1].[2131602]","","2131602 - Alberta VLT","","002")</f>
        <v>2131602 - Alberta VLT</v>
      </c>
      <c r="E220">
        <v>-183029.76000000001</v>
      </c>
    </row>
    <row r="221" spans="2:7">
      <c r="B221" t="str">
        <f xml:space="preserve"> _xll.EPMOlapMemberO("[TIME].[PARENTH1].[2021.AUG]","","2021.AUG - Aug-21","","002")</f>
        <v>2021.AUG - Aug-21</v>
      </c>
      <c r="C221" t="str">
        <f xml:space="preserve"> _xll.EPMOlapMemberO("[PROFITCENTER].[PARENTH1].[2267602]","","2267602 - Oregon Video","","002")</f>
        <v>2267602 - Oregon Video</v>
      </c>
      <c r="E221">
        <v>-379651.86</v>
      </c>
    </row>
    <row r="222" spans="2:7">
      <c r="B222" t="str">
        <f xml:space="preserve"> _xll.EPMOlapMemberO("[TIME].[PARENTH1].[2021.AUG]","","2021.AUG - Aug-21","","002")</f>
        <v>2021.AUG - Aug-21</v>
      </c>
      <c r="C222" t="str">
        <f xml:space="preserve"> _xll.EPMOlapMemberO("[PROFITCENTER].[PARENTH1].[2131602]","","2131602 - Alberta VLT","","002")</f>
        <v>2131602 - Alberta VLT</v>
      </c>
      <c r="E222">
        <v>-575730.72</v>
      </c>
    </row>
    <row r="223" spans="2:7">
      <c r="B223" t="str">
        <f xml:space="preserve"> _xll.EPMOlapMemberO("[TIME].[PARENTH1].[2021.AUG]","","2021.AUG - Aug-21","","002")</f>
        <v>2021.AUG - Aug-21</v>
      </c>
      <c r="C223" t="str">
        <f xml:space="preserve"> _xll.EPMOlapMemberO("[PROFITCENTER].[PARENTH1].[9050281156]","","9050281156 - North America Profit Elim","","002")</f>
        <v>9050281156 - North America Profit Elim</v>
      </c>
      <c r="G223">
        <v>-82690.42</v>
      </c>
    </row>
    <row r="224" spans="2:7">
      <c r="B224" t="str">
        <f xml:space="preserve"> _xll.EPMOlapMemberO("[TIME].[PARENTH1].[2021.SEP]","","2021.SEP - Sep-21","","002")</f>
        <v>2021.SEP - Sep-21</v>
      </c>
      <c r="C224" t="str">
        <f xml:space="preserve"> _xll.EPMOlapMemberO("[PROFITCENTER].[PARENTH1].[2267602]","","2267602 - Oregon Video","","002")</f>
        <v>2267602 - Oregon Video</v>
      </c>
      <c r="E224">
        <v>-527850</v>
      </c>
    </row>
    <row r="225" spans="2:7">
      <c r="B225" t="str">
        <f xml:space="preserve"> _xll.EPMOlapMemberO("[TIME].[PARENTH1].[2021.SEP]","","2021.SEP - Sep-21","","002")</f>
        <v>2021.SEP - Sep-21</v>
      </c>
      <c r="C225" t="str">
        <f xml:space="preserve"> _xll.EPMOlapMemberO("[PROFITCENTER].[PARENTH1].[2062602]","","2062602 - British Columbia","","002")</f>
        <v>2062602 - British Columbia</v>
      </c>
      <c r="E225">
        <v>-327684.15000000002</v>
      </c>
    </row>
    <row r="226" spans="2:7">
      <c r="B226" t="str">
        <f xml:space="preserve"> _xll.EPMOlapMemberO("[TIME].[PARENTH1].[2021.SEP]","","2021.SEP - Sep-21","","002")</f>
        <v>2021.SEP - Sep-21</v>
      </c>
      <c r="C226" t="str">
        <f xml:space="preserve"> _xll.EPMOlapMemberO("[PROFITCENTER].[PARENTH1].[2131602]","","2131602 - Alberta VLT","","002")</f>
        <v>2131602 - Alberta VLT</v>
      </c>
      <c r="E226">
        <v>-1172248.74</v>
      </c>
    </row>
    <row r="227" spans="2:7">
      <c r="B227" t="str">
        <f xml:space="preserve"> _xll.EPMOlapMemberO("[TIME].[PARENTH1].[2021.OCT]","","2021.OCT - Oct-21","","002")</f>
        <v>2021.OCT - Oct-21</v>
      </c>
      <c r="C227" t="str">
        <f xml:space="preserve"> _xll.EPMOlapMemberO("[PROFITCENTER].[PARENTH1].[2267602]","","2267602 - Oregon Video","","002")</f>
        <v>2267602 - Oregon Video</v>
      </c>
      <c r="E227">
        <v>-419866.2</v>
      </c>
    </row>
    <row r="228" spans="2:7">
      <c r="B228" t="str">
        <f xml:space="preserve"> _xll.EPMOlapMemberO("[TIME].[PARENTH1].[2021.NOV]","","2021.NOV - Nov-21","","002")</f>
        <v>2021.NOV - Nov-21</v>
      </c>
      <c r="C228" t="str">
        <f xml:space="preserve"> _xll.EPMOlapMemberO("[PROFITCENTER].[PARENTH1].[2267602]","","2267602 - Oregon Video","","002")</f>
        <v>2267602 - Oregon Video</v>
      </c>
      <c r="E228">
        <v>-656748.30000000005</v>
      </c>
    </row>
    <row r="229" spans="2:7">
      <c r="B229" t="str">
        <f xml:space="preserve"> _xll.EPMOlapMemberO("[TIME].[PARENTH1].[2021.NOV]","","2021.NOV - Nov-21","","002")</f>
        <v>2021.NOV - Nov-21</v>
      </c>
      <c r="C229" t="str">
        <f xml:space="preserve"> _xll.EPMOlapMemberO("[PROFITCENTER].[PARENTH1].[2131602]","","2131602 - Alberta VLT","","002")</f>
        <v>2131602 - Alberta VLT</v>
      </c>
      <c r="E229">
        <v>-989990.1</v>
      </c>
    </row>
    <row r="230" spans="2:7">
      <c r="B230" t="str">
        <f xml:space="preserve"> _xll.EPMOlapMemberO("[TIME].[PARENTH1].[2021.DEC]","","2021.DEC - Dec-21","","002")</f>
        <v>2021.DEC - Dec-21</v>
      </c>
      <c r="C230" t="str">
        <f xml:space="preserve"> _xll.EPMOlapMemberO("[PROFITCENTER].[PARENTH1].[2267602]","","2267602 - Oregon Video","","002")</f>
        <v>2267602 - Oregon Video</v>
      </c>
      <c r="E230">
        <v>-1129098.3799999999</v>
      </c>
    </row>
    <row r="231" spans="2:7">
      <c r="B231" t="str">
        <f xml:space="preserve"> _xll.EPMOlapMemberO("[TIME].[PARENTH1].[2021.DEC]","","2021.DEC - Dec-21","","002")</f>
        <v>2021.DEC - Dec-21</v>
      </c>
      <c r="C231" t="str">
        <f xml:space="preserve"> _xll.EPMOlapMemberO("[PROFITCENTER].[PARENTH1].[2061602]","","2061602 - Alberta","","002")</f>
        <v>2061602 - Alberta</v>
      </c>
      <c r="E231">
        <v>-134369.1</v>
      </c>
    </row>
    <row r="232" spans="2:7">
      <c r="B232" t="str">
        <f xml:space="preserve"> _xll.EPMOlapMemberO("[TIME].[PARENTH1].[2021.DEC]","","2021.DEC - Dec-21","","002")</f>
        <v>2021.DEC - Dec-21</v>
      </c>
      <c r="C232" t="str">
        <f xml:space="preserve"> _xll.EPMOlapMemberO("[PROFITCENTER].[PARENTH1].[2131602]","","2131602 - Alberta VLT","","002")</f>
        <v>2131602 - Alberta VLT</v>
      </c>
      <c r="E232">
        <v>-1182084.3</v>
      </c>
    </row>
    <row r="233" spans="2:7">
      <c r="B233" t="str">
        <f xml:space="preserve"> _xll.EPMOlapMemberO("[TIME].[PARENTH1].[2021.DEC]","","2021.DEC - Dec-21","","002")</f>
        <v>2021.DEC - Dec-21</v>
      </c>
      <c r="C233" t="str">
        <f xml:space="preserve"> _xll.EPMOlapMemberO("[PROFITCENTER].[PARENTH1].[2065602]","","2065602 - Ontario","","002")</f>
        <v>2065602 - Ontario</v>
      </c>
      <c r="E233">
        <v>-37909.919999999998</v>
      </c>
    </row>
    <row r="234" spans="2:7">
      <c r="B234" t="str">
        <f xml:space="preserve"> _xll.EPMOlapMemberO("[TIME].[PARENTH1].[2021.DEC]","","2021.DEC - Dec-21","","002")</f>
        <v>2021.DEC - Dec-21</v>
      </c>
      <c r="C234" t="str">
        <f xml:space="preserve"> _xll.EPMOlapMemberO("[PROFITCENTER].[PARENTH1].[2133301]","","2133301 - Saskatchewan VLT","","002")</f>
        <v>2133301 - Saskatchewan VLT</v>
      </c>
      <c r="D234">
        <v>-10903.64</v>
      </c>
    </row>
    <row r="235" spans="2:7">
      <c r="B235" t="str">
        <f xml:space="preserve"> _xll.EPMOlapMemberO("[TIME].[PARENTH1].[2021.DEC]","","2021.DEC - Dec-21","","002")</f>
        <v>2021.DEC - Dec-21</v>
      </c>
      <c r="C235" t="str">
        <f xml:space="preserve"> _xll.EPMOlapMemberO("[PROFITCENTER].[PARENTH1].[2133602]","","2133602 - Saskatchewan VLT","","002")</f>
        <v>2133602 - Saskatchewan VLT</v>
      </c>
      <c r="E235">
        <v>-2391766.9900000002</v>
      </c>
    </row>
    <row r="236" spans="2:7">
      <c r="B236" t="str">
        <f xml:space="preserve"> _xll.EPMOlapMemberO("[TIME].[PARENTH1].[2021.DEC]","","2021.DEC - Dec-21","","002")</f>
        <v>2021.DEC - Dec-21</v>
      </c>
      <c r="C236" t="str">
        <f xml:space="preserve"> _xll.EPMOlapMemberO("[PROFITCENTER].[PARENTH1].[9050281156]","","9050281156 - North America Profit Elim","","002")</f>
        <v>9050281156 - North America Profit Elim</v>
      </c>
      <c r="G236">
        <v>119757.53</v>
      </c>
    </row>
    <row r="237" spans="2:7">
      <c r="B237" t="str">
        <f xml:space="preserve"> _xll.EPMOlapMemberO("[TIME].[PARENTH1].[2022.JAN]","","2022.JAN - Jan-22","","002")</f>
        <v>2022.JAN - Jan-22</v>
      </c>
      <c r="C237" t="str">
        <f xml:space="preserve"> _xll.EPMOlapMemberO("[PROFITCENTER].[PARENTH1].[2267602]","","2267602 - Oregon Video","","002")</f>
        <v>2267602 - Oregon Video</v>
      </c>
      <c r="E237">
        <v>-432444.48</v>
      </c>
    </row>
    <row r="238" spans="2:7">
      <c r="B238" t="str">
        <f xml:space="preserve"> _xll.EPMOlapMemberO("[TIME].[PARENTH1].[2022.JAN]","","2022.JAN - Jan-22","","002")</f>
        <v>2022.JAN - Jan-22</v>
      </c>
      <c r="C238" t="str">
        <f xml:space="preserve"> _xll.EPMOlapMemberO("[PROFITCENTER].[PARENTH1].[2158602]","","2158602 - Core Stepper Sales -","","002")</f>
        <v>2158602 - Core Stepper Sales -</v>
      </c>
      <c r="E238">
        <v>-187</v>
      </c>
    </row>
    <row r="239" spans="2:7">
      <c r="B239" t="str">
        <f xml:space="preserve"> _xll.EPMOlapMemberO("[TIME].[PARENTH1].[2022.JAN]","","2022.JAN - Jan-22","","002")</f>
        <v>2022.JAN - Jan-22</v>
      </c>
      <c r="C239" t="str">
        <f xml:space="preserve"> _xll.EPMOlapMemberO("[PROFITCENTER].[PARENTH1].[2065602]","","2065602 - Ontario","","002")</f>
        <v>2065602 - Ontario</v>
      </c>
      <c r="E239">
        <v>-34156.46</v>
      </c>
    </row>
    <row r="240" spans="2:7">
      <c r="B240" t="str">
        <f xml:space="preserve"> _xll.EPMOlapMemberO("[TIME].[PARENTH1].[2022.FEB]","","2022.FEB - Feb-22","","002")</f>
        <v>2022.FEB - Feb-22</v>
      </c>
      <c r="C240" t="str">
        <f xml:space="preserve"> _xll.EPMOlapMemberO("[PROFITCENTER].[PARENTH1].[2267602]","","2267602 - Oregon Video","","002")</f>
        <v>2267602 - Oregon Video</v>
      </c>
      <c r="E240">
        <v>-1519660.25</v>
      </c>
    </row>
    <row r="241" spans="2:5">
      <c r="B241" t="str">
        <f xml:space="preserve"> _xll.EPMOlapMemberO("[TIME].[PARENTH1].[2022.FEB]","","2022.FEB - Feb-22","","002")</f>
        <v>2022.FEB - Feb-22</v>
      </c>
      <c r="C241" t="str">
        <f xml:space="preserve"> _xll.EPMOlapMemberO("[PROFITCENTER].[PARENTH1].[2062602]","","2062602 - British Columbia","","002")</f>
        <v>2062602 - British Columbia</v>
      </c>
      <c r="E241">
        <v>-152712</v>
      </c>
    </row>
    <row r="242" spans="2:5">
      <c r="B242" t="str">
        <f xml:space="preserve"> _xll.EPMOlapMemberO("[TIME].[PARENTH1].[2022.FEB]","","2022.FEB - Feb-22","","002")</f>
        <v>2022.FEB - Feb-22</v>
      </c>
      <c r="C242" t="str">
        <f xml:space="preserve"> _xll.EPMOlapMemberO("[PROFITCENTER].[PARENTH1].[2131602]","","2131602 - Alberta VLT","","002")</f>
        <v>2131602 - Alberta VLT</v>
      </c>
      <c r="E242">
        <v>-340289.64</v>
      </c>
    </row>
    <row r="243" spans="2:5">
      <c r="B243" t="str">
        <f xml:space="preserve"> _xll.EPMOlapMemberO("[TIME].[PARENTH1].[2022.FEB]","","2022.FEB - Feb-22","","002")</f>
        <v>2022.FEB - Feb-22</v>
      </c>
      <c r="C243" t="str">
        <f xml:space="preserve"> _xll.EPMOlapMemberO("[PROFITCENTER].[PARENTH1].[2065602]","","2065602 - Ontario","","002")</f>
        <v>2065602 - Ontario</v>
      </c>
      <c r="E243">
        <v>-48559.66</v>
      </c>
    </row>
    <row r="244" spans="2:5">
      <c r="B244" t="str">
        <f xml:space="preserve"> _xll.EPMOlapMemberO("[TIME].[PARENTH1].[2022.FEB]","","2022.FEB - Feb-22","","002")</f>
        <v>2022.FEB - Feb-22</v>
      </c>
      <c r="C244" t="str">
        <f xml:space="preserve"> _xll.EPMOlapMemberO("[PROFITCENTER].[PARENTH1].[2133301]","","2133301 - Saskatchewan VLT","","002")</f>
        <v>2133301 - Saskatchewan VLT</v>
      </c>
      <c r="D244">
        <v>-877.08</v>
      </c>
    </row>
    <row r="245" spans="2:5">
      <c r="B245" t="str">
        <f xml:space="preserve"> _xll.EPMOlapMemberO("[TIME].[PARENTH1].[2022.MAR]","","2022.MAR - Mar-22","","002")</f>
        <v>2022.MAR - Mar-22</v>
      </c>
      <c r="C245" t="str">
        <f xml:space="preserve"> _xll.EPMOlapMemberO("[PROFITCENTER].[PARENTH1].[2062602]","","2062602 - British Columbia","","002")</f>
        <v>2062602 - British Columbia</v>
      </c>
      <c r="E245">
        <v>-746426.92</v>
      </c>
    </row>
    <row r="246" spans="2:5">
      <c r="B246" t="str">
        <f xml:space="preserve"> _xll.EPMOlapMemberO("[TIME].[PARENTH1].[2022.MAR]","","2022.MAR - Mar-22","","002")</f>
        <v>2022.MAR - Mar-22</v>
      </c>
      <c r="C246" t="str">
        <f xml:space="preserve"> _xll.EPMOlapMemberO("[PROFITCENTER].[PARENTH1].[2061602]","","2061602 - Alberta","","002")</f>
        <v>2061602 - Alberta</v>
      </c>
      <c r="E246">
        <v>-641914.80000000005</v>
      </c>
    </row>
    <row r="247" spans="2:5">
      <c r="B247" t="str">
        <f xml:space="preserve"> _xll.EPMOlapMemberO("[TIME].[PARENTH1].[2022.MAR]","","2022.MAR - Mar-22","","002")</f>
        <v>2022.MAR - Mar-22</v>
      </c>
      <c r="C247" t="str">
        <f xml:space="preserve"> _xll.EPMOlapMemberO("[PROFITCENTER].[PARENTH1].[2131602]","","2131602 - Alberta VLT","","002")</f>
        <v>2131602 - Alberta VLT</v>
      </c>
      <c r="E247">
        <v>-1932614.98</v>
      </c>
    </row>
    <row r="248" spans="2:5">
      <c r="B248" t="str">
        <f xml:space="preserve"> _xll.EPMOlapMemberO("[TIME].[PARENTH1].[2022.MAR]","","2022.MAR - Mar-22","","002")</f>
        <v>2022.MAR - Mar-22</v>
      </c>
      <c r="C248" t="str">
        <f xml:space="preserve"> _xll.EPMOlapMemberO("[PROFITCENTER].[PARENTH1].[2065602]","","2065602 - Ontario","","002")</f>
        <v>2065602 - Ontario</v>
      </c>
      <c r="E248">
        <v>-237785.44</v>
      </c>
    </row>
    <row r="249" spans="2:5">
      <c r="B249" t="str">
        <f xml:space="preserve"> _xll.EPMOlapMemberO("[TIME].[PARENTH1].[2022.MAR]","","2022.MAR - Mar-22","","002")</f>
        <v>2022.MAR - Mar-22</v>
      </c>
      <c r="C249" t="str">
        <f xml:space="preserve"> _xll.EPMOlapMemberO("[PROFITCENTER].[PARENTH1].[2068602]","","2068602 - Poker Sales - Ontario (Product)","","002")</f>
        <v>2068602 - Poker Sales - Ontario (Product)</v>
      </c>
      <c r="E249">
        <v>-85420.08</v>
      </c>
    </row>
    <row r="250" spans="2:5">
      <c r="B250" t="str">
        <f xml:space="preserve"> _xll.EPMOlapMemberO("[TIME].[PARENTH1].[2022.MAR]","","2022.MAR - Mar-22","","002")</f>
        <v>2022.MAR - Mar-22</v>
      </c>
      <c r="C250" t="str">
        <f xml:space="preserve"> _xll.EPMOlapMemberO("[PROFITCENTER].[PARENTH1].[2066602]","","2066602 - Quebec","","002")</f>
        <v>2066602 - Quebec</v>
      </c>
      <c r="E250">
        <v>-153253.09</v>
      </c>
    </row>
    <row r="251" spans="2:5">
      <c r="B251" t="str">
        <f xml:space="preserve"> _xll.EPMOlapMemberO("[TIME].[PARENTH1].[2022.MAR]","","2022.MAR - Mar-22","","002")</f>
        <v>2022.MAR - Mar-22</v>
      </c>
      <c r="C251" t="str">
        <f xml:space="preserve"> _xll.EPMOlapMemberO("[PROFITCENTER].[PARENTH1].[2401602]","","2401602 - Poker Sales - Quebec","","002")</f>
        <v>2401602 - Poker Sales - Quebec</v>
      </c>
      <c r="E251">
        <v>-156408.78</v>
      </c>
    </row>
    <row r="252" spans="2:5">
      <c r="B252" t="str">
        <f xml:space="preserve"> _xll.EPMOlapMemberO("[TIME].[PARENTH1].[2022.MAR]","","2022.MAR - Mar-22","","002")</f>
        <v>2022.MAR - Mar-22</v>
      </c>
      <c r="C252" t="str">
        <f xml:space="preserve"> _xll.EPMOlapMemberO("[PROFITCENTER].[PARENTH1].[2067602]","","2067602 - Saskatchewan","","002")</f>
        <v>2067602 - Saskatchewan</v>
      </c>
      <c r="E252">
        <v>-67634</v>
      </c>
    </row>
    <row r="253" spans="2:5">
      <c r="B253" t="str">
        <f xml:space="preserve"> _xll.EPMOlapMemberO("[TIME].[PARENTH1].[2022.DEC]","","2022.DEC - Dec-22","","002")</f>
        <v>2022.DEC - Dec-22</v>
      </c>
      <c r="C253" t="str">
        <f xml:space="preserve"> _xll.EPMOlapMemberO("[PROFITCENTER].[PARENTH1].[2067602]","","2067602 - Saskatchewan","","002")</f>
        <v>2067602 - Saskatchewan</v>
      </c>
      <c r="E253">
        <v>-249766.65</v>
      </c>
    </row>
  </sheetData>
  <pageMargins left="0.7" right="0.7" top="0.75" bottom="0.75" header="0.3" footer="0.3"/>
  <pageSetup orientation="portrait" r:id="rId1"/>
  <customProperties>
    <customPr name="_pios_id" r:id="rId2"/>
    <customPr name="CofWorksheetType" r:id="rId3"/>
    <customPr name="FPMExcelClientRefreshTime" r:id="rId4"/>
  </customProperties>
  <drawing r:id="rId5"/>
  <legacyDrawing r:id="rId6"/>
  <controls>
    <mc:AlternateContent xmlns:mc="http://schemas.openxmlformats.org/markup-compatibility/2006">
      <mc:Choice Requires="x14">
        <control shapeId="20481" r:id="rId7" name="FPMExcelClientSheetOptionstb1">
          <controlPr defaultSize="0" autoLine="0" autoPict="0" r:id="rId8">
            <anchor moveWithCells="1" siz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0</xdr:row>
                <xdr:rowOff>0</xdr:rowOff>
              </to>
            </anchor>
          </controlPr>
        </control>
      </mc:Choice>
      <mc:Fallback>
        <control shapeId="20481" r:id="rId7" name="FPMExcelClientSheetOptionstb1"/>
      </mc:Fallback>
    </mc:AlternateContent>
    <mc:AlternateContent xmlns:mc="http://schemas.openxmlformats.org/markup-compatibility/2006">
      <mc:Choice Requires="x14">
        <control shapeId="20482" r:id="rId9" name="ConnectionDescriptorsInfotb1">
          <controlPr defaultSize="0" autoLine="0" autoPict="0" r:id="rId10">
            <anchor moveWithCells="1" siz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0</xdr:row>
                <xdr:rowOff>0</xdr:rowOff>
              </to>
            </anchor>
          </controlPr>
        </control>
      </mc:Choice>
      <mc:Fallback>
        <control shapeId="20482" r:id="rId9" name="ConnectionDescriptorsInfotb1"/>
      </mc:Fallback>
    </mc:AlternateContent>
    <mc:AlternateContent xmlns:mc="http://schemas.openxmlformats.org/markup-compatibility/2006">
      <mc:Choice Requires="x14">
        <control shapeId="20483" r:id="rId11" name="MultipleReportManagerInfotb1">
          <controlPr defaultSize="0" autoLine="0" autoPict="0" r:id="rId12">
            <anchor moveWithCells="1" siz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0</xdr:row>
                <xdr:rowOff>0</xdr:rowOff>
              </to>
            </anchor>
          </controlPr>
        </control>
      </mc:Choice>
      <mc:Fallback>
        <control shapeId="20483" r:id="rId11" name="MultipleReportManagerInfotb1"/>
      </mc:Fallback>
    </mc:AlternateContent>
    <mc:AlternateContent xmlns:mc="http://schemas.openxmlformats.org/markup-compatibility/2006">
      <mc:Choice Requires="x14">
        <control shapeId="20484" r:id="rId13" name="AnalyzerDynReport000tb1">
          <controlPr defaultSize="0" autoLine="0" autoPict="0" r:id="rId14">
            <anchor moveWithCells="1" siz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0</xdr:row>
                <xdr:rowOff>0</xdr:rowOff>
              </to>
            </anchor>
          </controlPr>
        </control>
      </mc:Choice>
      <mc:Fallback>
        <control shapeId="20484" r:id="rId13" name="AnalyzerDynReport000tb1"/>
      </mc:Fallback>
    </mc:AlternateContent>
    <mc:AlternateContent xmlns:mc="http://schemas.openxmlformats.org/markup-compatibility/2006">
      <mc:Choice Requires="x14">
        <control shapeId="20485" r:id="rId15" name="AnalyzerDynReport001tb1">
          <controlPr defaultSize="0" autoLine="0" autoPict="0" r:id="rId16">
            <anchor moveWithCells="1" siz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0</xdr:row>
                <xdr:rowOff>0</xdr:rowOff>
              </to>
            </anchor>
          </controlPr>
        </control>
      </mc:Choice>
      <mc:Fallback>
        <control shapeId="20485" r:id="rId15" name="AnalyzerDynReport001tb1"/>
      </mc:Fallback>
    </mc:AlternateContent>
    <mc:AlternateContent xmlns:mc="http://schemas.openxmlformats.org/markup-compatibility/2006">
      <mc:Choice Requires="x14">
        <control shapeId="20486" r:id="rId17" name="AnalyzerDynReport002tb1">
          <controlPr defaultSize="0" autoLine="0" autoPict="0" r:id="rId18">
            <anchor moveWithCells="1" siz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0</xdr:row>
                <xdr:rowOff>0</xdr:rowOff>
              </to>
            </anchor>
          </controlPr>
        </control>
      </mc:Choice>
      <mc:Fallback>
        <control shapeId="20486" r:id="rId17" name="AnalyzerDynReport002tb1"/>
      </mc:Fallback>
    </mc:AlternateContent>
  </control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B6A2680B167C4795A2215B901C8517" ma:contentTypeVersion="7" ma:contentTypeDescription="Create a new document." ma:contentTypeScope="" ma:versionID="2bce07ed4a3e7c8ead376f2078857d8f">
  <xsd:schema xmlns:xsd="http://www.w3.org/2001/XMLSchema" xmlns:xs="http://www.w3.org/2001/XMLSchema" xmlns:p="http://schemas.microsoft.com/office/2006/metadata/properties" xmlns:ns2="3664b70e-7885-4129-8028-ad0e09bece0a" targetNamespace="http://schemas.microsoft.com/office/2006/metadata/properties" ma:root="true" ma:fieldsID="c3011c7f4d7d90b95fffff23c8c6623e" ns2:_="">
    <xsd:import namespace="3664b70e-7885-4129-8028-ad0e09bece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64b70e-7885-4129-8028-ad0e09bece0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7D2D152-E3F4-48DA-ACB2-39C793C323BA}"/>
</file>

<file path=customXml/itemProps2.xml><?xml version="1.0" encoding="utf-8"?>
<ds:datastoreItem xmlns:ds="http://schemas.openxmlformats.org/officeDocument/2006/customXml" ds:itemID="{D16CC737-2B3A-4EB1-9EB6-25512414EEFE}"/>
</file>

<file path=customXml/itemProps3.xml><?xml version="1.0" encoding="utf-8"?>
<ds:datastoreItem xmlns:ds="http://schemas.openxmlformats.org/officeDocument/2006/customXml" ds:itemID="{A4F73B14-ACA1-42D5-9A7B-B903F82DB7F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GTECH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Barry Sean (Consultant)</dc:creator>
  <cp:keywords/>
  <dc:description/>
  <cp:lastModifiedBy/>
  <cp:revision/>
  <dcterms:created xsi:type="dcterms:W3CDTF">2017-10-25T16:05:17Z</dcterms:created>
  <dcterms:modified xsi:type="dcterms:W3CDTF">2026-02-20T06:28:51Z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ContentTypeId">
    <vt:lpwstr>0x01010079B6A2680B167C4795A2215B901C8517</vt:lpwstr>
  </property>
</Properties>
</file>