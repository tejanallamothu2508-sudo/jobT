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activeX/activeX1.xml" ContentType="application/vnd.ms-office.activeX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5.bin" ContentType="application/vnd.ms-office.activeX"/>
  <Override PartName="/xl/activeX/activeX4.bin" ContentType="application/vnd.ms-office.activeX"/>
  <Override PartName="/xl/activeX/activeX3.bin" ContentType="application/vnd.ms-office.activeX"/>
  <Override PartName="/xl/activeX/activeX2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rnodata03\data02\FinDept\FORECAST\2025\Product Sales\GBDATABASE Linked Files\zRevenue\"/>
    </mc:Choice>
  </mc:AlternateContent>
  <xr:revisionPtr revIDLastSave="0" documentId="8_{8D7F3432-503C-42C0-8978-2E975FE989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 Garrett" sheetId="3" r:id="rId1"/>
    <sheet name="Ad Hoc BPC Data Linked" sheetId="1" r:id="rId2"/>
  </sheets>
  <externalReferences>
    <externalReference r:id="rId3"/>
  </externalReferences>
  <definedNames>
    <definedName name="EPMWorkbookOptions_1" hidden="1">"JVIAAB+LCAAAAAAABADtnG1zojoUx9/vzH4Hx/cKKFq3Y92hiEovT8uDvZ3ODoMaK7MKLNDa3k9/Az6BYOtW1xFMp53S5CSEX/45OUkxze+vs2nhBbieaVs3RaKMFwvAGtoj03q6KT774xJRL35vff3SvLfdXwPb/iU6PjT1CrCc5V2/euZNceL7zjWGzefz8rxatt0nrILjBPYvzynDCZgZJdPyfMMaguK61OjjUkV410KhSduWBYbBPVWb"</definedName>
    <definedName name="EPMWorkbookOptions_2" hidden="1">"fnZdYPl9E8zDzFh22/CNZSpMF4wZWNxtfScfzJxn1wxvpXnAlVwwBrC+ISjDBhVbekfi9VuJFu4JXH9cFnIt2zOcwYtTNp98eFU2RsFVeWjPMPgnNnCG2E/9scuJtxTXkSh4LTOSKKus0IXXY2PqgfXvJhY0a9NIynGm5tCIAN27sas64rVEkpcMWuvWbN18QW8DtIDtzOqZoxGw2uYMWF7Y1N2mm2Z6MRtopUzs+boO2p7abst3n0ETS8l4"</definedName>
    <definedName name="EPMWorkbookOptions_3" hidden="1">"r2j4FCklE0+3LAgV4oNXv2O82K7pw3aFfbEonMjbKt8znyZT+OMrYApVBkY9E7iGO5yYm3retdmjPR3T9fzIA6Xnb1W0furdwPe1itpplvn7GYQkKZoWNUFtYmmZ79Wx6EHoN2o4UW0QkQrS+jYsK7oj4LbwJra4SK3dc6bGm+TaDnD9txZRq9fGYDAu1eojskRWxt9KjRoAJdwAFXI0uCKvBtXgzvFSKRVzhrfuOB7MBtATppjFRZ5qAE0W"</definedName>
    <definedName name="EPMWorkbookOptions_4" hidden="1">"5SOYHpcQf5YfJUpmBLVHwEtZUu67FA+9QaLAjopXinrbmBag5722zOlNMVBOcWtIvt+3+5VtYh898hGZMEpHpUWli6hEqZB4FcdxhCQqFJWReaSUBBa6J3dvKfofRCXmaQO1IF+7TUVUewjK1gDiKUHrQMeiIiwxLJ0uAhIFIilthmP7jJx1LE1sv9gXwvN8e2b+B0bxtdZ6hbDLILEewf7+soUWeYkSHmixzXx+6YLjZAPH91+5EPlbuUQ4"</definedName>
    <definedName name="EPMWorkbookOptions_5" hidden="1">"xgcAxXE6TVeyrv6jc6njiEm6VhCWCJYqkkqqVIgLXuimQiHzIZSDo4zYhH5OkUabUilFpj8dZVSrtRpJkvtHGZX8RRlLhnFXoIoqxa1yLl3+a5Wdk/Q7mkCrrChQHOw16tMjoH5F4I3G1f4joJq/ERBHuRkIleBSFttZHwDH5rIKKzsUIpMko3QRljQsjNxHXJJc8uBgDp5htyezc5pouxR/0DZWvV6t/sE+Fpm/+TUguBVe6orItfUL/gdI"</definedName>
    <definedName name="EPMWorkbookOptions_6" hidden="1">"GhNWUNRgXkVYIlg0nRaFPiMr0D0gKtHwK0zNOJGDZ46Fdz6n+YIVJE2lNRn2Ff1wwle3avmbOGIo4wOgmvmdyoOlvyW0cxoDPEMpmswoJ5R/PX/yX1GEcoffD2rm1wnHAfEDgViAkBiZFdvshWzQnsJvwcX4LXXLcqx6ypn7Kn+uKwJyaz+Voy42jE+Fsormg8ysgzk4pImNv3MKaIJdOo0+5ScxGrl0CgHEVO1nfko/hvYXEjsz3XdYlYad"</definedName>
    <definedName name="EPMWorkbookOptions_7" hidden="1">"xcgnFP+3XIp/TTI+AnBCoPguzwoqTmR9FByXThAwCFSXDba6dJm52NfCP6DzQ2P0PofopIwsAq/XdfiFRlaSTiXwyWQ98xtpf2lUoRG1WzMITNLVwDmKFbrI1ewKcRRO4RkF0dkd4mSdzDGWQJHVxpmtg+6Yk67/iRwexbCkmLoBcJd19R8ViipTbUZXKI7RmS6vIDbxN+bu9PAF9VywOYbXXPimc3KYKnvIW3N/7i1z+PHPAOFW9I0TV+VQ"</definedName>
    <definedName name="EPMWorkbookOptions_8" hidden="1">"+Rcv+oW+zknxy3fUTin6HH4aafWmXzxEoFUNaX6jsKPKfg+j2JPtNIrZ2DPHjzQvfl5dE0s7Ly+Wuqob3jp5umA0MXkiYVMGYxd4E9ESHWCtjoiLJ4Z29BQYblCpaCnGC1hZbieHtqujF+GT+WH/rayTGXH7+Wj56E3W6xuuaQymgAfu06aGRPrXL5tql0c9tv4HDcgE2CVSAAA="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19" i="3" l="1"/>
  <c r="DF20" i="3"/>
  <c r="DF21" i="3"/>
  <c r="DF22" i="3"/>
  <c r="DF23" i="3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B58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B47" i="1"/>
  <c r="C34" i="1"/>
  <c r="C59" i="1" s="1"/>
  <c r="D34" i="1"/>
  <c r="D59" i="1" s="1"/>
  <c r="E34" i="1"/>
  <c r="E59" i="1" s="1"/>
  <c r="F34" i="1"/>
  <c r="F59" i="1" s="1"/>
  <c r="G34" i="1"/>
  <c r="G59" i="1" s="1"/>
  <c r="H34" i="1"/>
  <c r="H59" i="1" s="1"/>
  <c r="I34" i="1"/>
  <c r="I59" i="1" s="1"/>
  <c r="J34" i="1"/>
  <c r="J59" i="1" s="1"/>
  <c r="K34" i="1"/>
  <c r="K59" i="1" s="1"/>
  <c r="L34" i="1"/>
  <c r="L59" i="1" s="1"/>
  <c r="M34" i="1"/>
  <c r="M59" i="1" s="1"/>
  <c r="N34" i="1"/>
  <c r="N59" i="1" s="1"/>
  <c r="O34" i="1"/>
  <c r="O59" i="1" s="1"/>
  <c r="P34" i="1"/>
  <c r="P59" i="1" s="1"/>
  <c r="Q34" i="1"/>
  <c r="Q59" i="1" s="1"/>
  <c r="R34" i="1"/>
  <c r="R59" i="1" s="1"/>
  <c r="S34" i="1"/>
  <c r="S59" i="1" s="1"/>
  <c r="T34" i="1"/>
  <c r="T59" i="1" s="1"/>
  <c r="U34" i="1"/>
  <c r="U59" i="1" s="1"/>
  <c r="V34" i="1"/>
  <c r="V59" i="1" s="1"/>
  <c r="W34" i="1"/>
  <c r="W59" i="1" s="1"/>
  <c r="X34" i="1"/>
  <c r="X59" i="1" s="1"/>
  <c r="Y34" i="1"/>
  <c r="Y59" i="1" s="1"/>
  <c r="Z34" i="1"/>
  <c r="Z59" i="1" s="1"/>
  <c r="AA34" i="1"/>
  <c r="AA59" i="1" s="1"/>
  <c r="AB34" i="1"/>
  <c r="AB59" i="1" s="1"/>
  <c r="AC34" i="1"/>
  <c r="AC59" i="1" s="1"/>
  <c r="AD34" i="1"/>
  <c r="AD59" i="1" s="1"/>
  <c r="AE34" i="1"/>
  <c r="AE59" i="1" s="1"/>
  <c r="AF34" i="1"/>
  <c r="AF59" i="1" s="1"/>
  <c r="AG34" i="1"/>
  <c r="AG59" i="1" s="1"/>
  <c r="AH34" i="1"/>
  <c r="AH59" i="1" s="1"/>
  <c r="AI34" i="1"/>
  <c r="AI59" i="1" s="1"/>
  <c r="AJ34" i="1"/>
  <c r="AJ59" i="1" s="1"/>
  <c r="AK34" i="1"/>
  <c r="AK59" i="1" s="1"/>
  <c r="AL34" i="1"/>
  <c r="AL59" i="1" s="1"/>
  <c r="AM34" i="1"/>
  <c r="AM59" i="1" s="1"/>
  <c r="AN34" i="1"/>
  <c r="AN59" i="1" s="1"/>
  <c r="AO34" i="1"/>
  <c r="AO59" i="1" s="1"/>
  <c r="AP34" i="1"/>
  <c r="AP59" i="1" s="1"/>
  <c r="AQ34" i="1"/>
  <c r="AQ59" i="1" s="1"/>
  <c r="AR34" i="1"/>
  <c r="AR59" i="1" s="1"/>
  <c r="AS34" i="1"/>
  <c r="AS59" i="1" s="1"/>
  <c r="AT34" i="1"/>
  <c r="AT59" i="1" s="1"/>
  <c r="AU34" i="1"/>
  <c r="AU59" i="1" s="1"/>
  <c r="AV34" i="1"/>
  <c r="AV59" i="1" s="1"/>
  <c r="AW34" i="1"/>
  <c r="AW59" i="1" s="1"/>
  <c r="AX34" i="1"/>
  <c r="AX59" i="1" s="1"/>
  <c r="AY34" i="1"/>
  <c r="AY59" i="1" s="1"/>
  <c r="AZ34" i="1"/>
  <c r="AZ59" i="1" s="1"/>
  <c r="BA34" i="1"/>
  <c r="BA59" i="1" s="1"/>
  <c r="BB34" i="1"/>
  <c r="BB59" i="1" s="1"/>
  <c r="BC34" i="1"/>
  <c r="BC59" i="1" s="1"/>
  <c r="BD34" i="1"/>
  <c r="BD59" i="1" s="1"/>
  <c r="BE34" i="1"/>
  <c r="BE59" i="1" s="1"/>
  <c r="BF34" i="1"/>
  <c r="BF59" i="1" s="1"/>
  <c r="BG34" i="1"/>
  <c r="BG59" i="1" s="1"/>
  <c r="BH34" i="1"/>
  <c r="BH59" i="1" s="1"/>
  <c r="BI34" i="1"/>
  <c r="BI59" i="1" s="1"/>
  <c r="BJ34" i="1"/>
  <c r="BJ59" i="1" s="1"/>
  <c r="BK34" i="1"/>
  <c r="BK59" i="1" s="1"/>
  <c r="BL34" i="1"/>
  <c r="BL59" i="1" s="1"/>
  <c r="BM34" i="1"/>
  <c r="BM59" i="1" s="1"/>
  <c r="BN34" i="1"/>
  <c r="BN59" i="1" s="1"/>
  <c r="BO34" i="1"/>
  <c r="BO59" i="1" s="1"/>
  <c r="BP34" i="1"/>
  <c r="BP59" i="1" s="1"/>
  <c r="BQ34" i="1"/>
  <c r="BQ59" i="1" s="1"/>
  <c r="BR34" i="1"/>
  <c r="BR59" i="1" s="1"/>
  <c r="BS34" i="1"/>
  <c r="BS59" i="1" s="1"/>
  <c r="BT34" i="1"/>
  <c r="BT59" i="1" s="1"/>
  <c r="BU34" i="1"/>
  <c r="BU59" i="1" s="1"/>
  <c r="BV34" i="1"/>
  <c r="BV59" i="1" s="1"/>
  <c r="BW34" i="1"/>
  <c r="BW59" i="1" s="1"/>
  <c r="BX34" i="1"/>
  <c r="BX59" i="1" s="1"/>
  <c r="BY34" i="1"/>
  <c r="BY59" i="1" s="1"/>
  <c r="BZ34" i="1"/>
  <c r="BZ59" i="1" s="1"/>
  <c r="CA34" i="1"/>
  <c r="CA59" i="1" s="1"/>
  <c r="CB34" i="1"/>
  <c r="CB59" i="1" s="1"/>
  <c r="CC34" i="1"/>
  <c r="CC59" i="1" s="1"/>
  <c r="CD34" i="1"/>
  <c r="CD59" i="1" s="1"/>
  <c r="CE34" i="1"/>
  <c r="CE59" i="1" s="1"/>
  <c r="CF34" i="1"/>
  <c r="CF59" i="1" s="1"/>
  <c r="CG34" i="1"/>
  <c r="CG59" i="1" s="1"/>
  <c r="B34" i="1"/>
  <c r="B59" i="1" s="1"/>
  <c r="CG69" i="1"/>
  <c r="CG68" i="1"/>
  <c r="CG67" i="1"/>
  <c r="CG66" i="1"/>
  <c r="CG70" i="1" s="1"/>
  <c r="A8" i="1"/>
  <c r="A4" i="1"/>
  <c r="A7" i="1"/>
  <c r="A3" i="1"/>
  <c r="A6" i="1"/>
  <c r="A2" i="1"/>
  <c r="A5" i="1"/>
  <c r="A1" i="1"/>
  <c r="CG10" i="1"/>
  <c r="CG71" i="1" l="1"/>
  <c r="DF4" i="3"/>
  <c r="DF5" i="3"/>
  <c r="DF6" i="3" s="1"/>
  <c r="DF8" i="3" s="1"/>
  <c r="DE22" i="3"/>
  <c r="CF69" i="1"/>
  <c r="CF68" i="1"/>
  <c r="DE5" i="3" s="1"/>
  <c r="CF67" i="1"/>
  <c r="CF66" i="1"/>
  <c r="DE4" i="3" s="1"/>
  <c r="DE19" i="3" s="1"/>
  <c r="DD22" i="3"/>
  <c r="CE66" i="1"/>
  <c r="DD4" i="3" s="1"/>
  <c r="CE67" i="1"/>
  <c r="CE68" i="1"/>
  <c r="DD5" i="3" s="1"/>
  <c r="DD20" i="3" s="1"/>
  <c r="CE69" i="1"/>
  <c r="DC22" i="3"/>
  <c r="CD66" i="1"/>
  <c r="CD67" i="1"/>
  <c r="CD68" i="1"/>
  <c r="DC5" i="3" s="1"/>
  <c r="DC20" i="3" s="1"/>
  <c r="CD69" i="1"/>
  <c r="DC4" i="3"/>
  <c r="DC19" i="3" s="1"/>
  <c r="DB22" i="3"/>
  <c r="CC66" i="1"/>
  <c r="DB4" i="3" s="1"/>
  <c r="CC67" i="1"/>
  <c r="CC68" i="1"/>
  <c r="DB5" i="3" s="1"/>
  <c r="DB20" i="3" s="1"/>
  <c r="CC69" i="1"/>
  <c r="DA22" i="3"/>
  <c r="CB66" i="1"/>
  <c r="CB67" i="1"/>
  <c r="CB68" i="1"/>
  <c r="DA5" i="3" s="1"/>
  <c r="DA20" i="3" s="1"/>
  <c r="CB69" i="1"/>
  <c r="CZ22" i="3"/>
  <c r="CA66" i="1"/>
  <c r="CZ4" i="3" s="1"/>
  <c r="CA67" i="1"/>
  <c r="CA68" i="1"/>
  <c r="CZ5" i="3" s="1"/>
  <c r="CZ20" i="3" s="1"/>
  <c r="CA69" i="1"/>
  <c r="CY22" i="3"/>
  <c r="BZ66" i="1"/>
  <c r="CY4" i="3" s="1"/>
  <c r="CY19" i="3" s="1"/>
  <c r="BZ67" i="1"/>
  <c r="BZ68" i="1"/>
  <c r="CY5" i="3" s="1"/>
  <c r="BZ69" i="1"/>
  <c r="CX22" i="3"/>
  <c r="BY66" i="1"/>
  <c r="CX4" i="3" s="1"/>
  <c r="CX19" i="3" s="1"/>
  <c r="BY67" i="1"/>
  <c r="BY68" i="1"/>
  <c r="CX5" i="3" s="1"/>
  <c r="CX20" i="3" s="1"/>
  <c r="BY69" i="1"/>
  <c r="CW22" i="3"/>
  <c r="BX66" i="1"/>
  <c r="BX67" i="1"/>
  <c r="BX68" i="1"/>
  <c r="CW5" i="3" s="1"/>
  <c r="CW20" i="3" s="1"/>
  <c r="BX69" i="1"/>
  <c r="CV22" i="3"/>
  <c r="BW66" i="1"/>
  <c r="CV4" i="3" s="1"/>
  <c r="BW67" i="1"/>
  <c r="BW68" i="1"/>
  <c r="CV5" i="3" s="1"/>
  <c r="CV20" i="3" s="1"/>
  <c r="BW69" i="1"/>
  <c r="CT22" i="3"/>
  <c r="CU22" i="3"/>
  <c r="BU66" i="1"/>
  <c r="CT4" i="3" s="1"/>
  <c r="CT19" i="3" s="1"/>
  <c r="BV66" i="1"/>
  <c r="CU4" i="3" s="1"/>
  <c r="CU19" i="3" s="1"/>
  <c r="BU67" i="1"/>
  <c r="BV67" i="1"/>
  <c r="BU68" i="1"/>
  <c r="CT5" i="3" s="1"/>
  <c r="BV68" i="1"/>
  <c r="CU5" i="3" s="1"/>
  <c r="CU20" i="3" s="1"/>
  <c r="BU69" i="1"/>
  <c r="BV69" i="1"/>
  <c r="CS22" i="3"/>
  <c r="BT66" i="1"/>
  <c r="CS4" i="3" s="1"/>
  <c r="BT67" i="1"/>
  <c r="BT68" i="1"/>
  <c r="CS5" i="3" s="1"/>
  <c r="CS20" i="3" s="1"/>
  <c r="BT69" i="1"/>
  <c r="CR22" i="3"/>
  <c r="BS66" i="1"/>
  <c r="CR4" i="3" s="1"/>
  <c r="BS67" i="1"/>
  <c r="BS68" i="1"/>
  <c r="CR5" i="3" s="1"/>
  <c r="CR20" i="3" s="1"/>
  <c r="BS69" i="1"/>
  <c r="CQ22" i="3"/>
  <c r="BR66" i="1"/>
  <c r="BR67" i="1"/>
  <c r="BR68" i="1"/>
  <c r="CQ5" i="3" s="1"/>
  <c r="CQ20" i="3" s="1"/>
  <c r="BR69" i="1"/>
  <c r="CO22" i="3"/>
  <c r="CP22" i="3"/>
  <c r="BQ66" i="1"/>
  <c r="BQ67" i="1"/>
  <c r="BQ68" i="1"/>
  <c r="CP5" i="3" s="1"/>
  <c r="CP20" i="3" s="1"/>
  <c r="BQ69" i="1"/>
  <c r="BP66" i="1"/>
  <c r="CO4" i="3" s="1"/>
  <c r="CO19" i="3" s="1"/>
  <c r="BP67" i="1"/>
  <c r="BP68" i="1"/>
  <c r="CO5" i="3" s="1"/>
  <c r="CO20" i="3" s="1"/>
  <c r="BP69" i="1"/>
  <c r="CN22" i="3"/>
  <c r="BO66" i="1"/>
  <c r="BO67" i="1"/>
  <c r="BO68" i="1"/>
  <c r="CN5" i="3" s="1"/>
  <c r="CN20" i="3" s="1"/>
  <c r="BO69" i="1"/>
  <c r="CM22" i="3"/>
  <c r="BN66" i="1"/>
  <c r="CM4" i="3" s="1"/>
  <c r="BN67" i="1"/>
  <c r="BN68" i="1"/>
  <c r="CM5" i="3" s="1"/>
  <c r="CM20" i="3" s="1"/>
  <c r="BN69" i="1"/>
  <c r="CL22" i="3"/>
  <c r="BM66" i="1"/>
  <c r="CL4" i="3" s="1"/>
  <c r="CL19" i="3" s="1"/>
  <c r="BM67" i="1"/>
  <c r="BM68" i="1"/>
  <c r="CL5" i="3" s="1"/>
  <c r="BM69" i="1"/>
  <c r="CK22" i="3"/>
  <c r="BL66" i="1"/>
  <c r="CK4" i="3" s="1"/>
  <c r="BL67" i="1"/>
  <c r="BL68" i="1"/>
  <c r="CK5" i="3" s="1"/>
  <c r="CK20" i="3" s="1"/>
  <c r="BL69" i="1"/>
  <c r="CJ22" i="3"/>
  <c r="BK66" i="1"/>
  <c r="CJ4" i="3" s="1"/>
  <c r="CJ19" i="3" s="1"/>
  <c r="BK67" i="1"/>
  <c r="BK68" i="1"/>
  <c r="CJ5" i="3" s="1"/>
  <c r="CJ20" i="3" s="1"/>
  <c r="BK69" i="1"/>
  <c r="CI22" i="3"/>
  <c r="BJ66" i="1"/>
  <c r="CI4" i="3" s="1"/>
  <c r="BJ67" i="1"/>
  <c r="BJ68" i="1"/>
  <c r="CI5" i="3" s="1"/>
  <c r="CI20" i="3" s="1"/>
  <c r="BJ69" i="1"/>
  <c r="CH22" i="3"/>
  <c r="BI66" i="1"/>
  <c r="CH4" i="3" s="1"/>
  <c r="BI67" i="1"/>
  <c r="BI68" i="1"/>
  <c r="CH5" i="3" s="1"/>
  <c r="CH20" i="3" s="1"/>
  <c r="BI69" i="1"/>
  <c r="CG22" i="3"/>
  <c r="BH66" i="1"/>
  <c r="CG4" i="3" s="1"/>
  <c r="CG19" i="3" s="1"/>
  <c r="BH67" i="1"/>
  <c r="BH68" i="1"/>
  <c r="CG5" i="3" s="1"/>
  <c r="BH69" i="1"/>
  <c r="BF68" i="1"/>
  <c r="BH10" i="1"/>
  <c r="BS10" i="1"/>
  <c r="BR10" i="1"/>
  <c r="BI10" i="1"/>
  <c r="BZ10" i="1"/>
  <c r="BV10" i="1"/>
  <c r="BQ10" i="1"/>
  <c r="BK10" i="1"/>
  <c r="BX10" i="1"/>
  <c r="CA10" i="1"/>
  <c r="CC10" i="1"/>
  <c r="BW10" i="1"/>
  <c r="CF10" i="1"/>
  <c r="BJ10" i="1"/>
  <c r="BL10" i="1"/>
  <c r="BP10" i="1"/>
  <c r="BY10" i="1"/>
  <c r="BN10" i="1"/>
  <c r="BU10" i="1"/>
  <c r="BM10" i="1"/>
  <c r="BO10" i="1"/>
  <c r="CD10" i="1"/>
  <c r="CE10" i="1"/>
  <c r="CB10" i="1"/>
  <c r="BT10" i="1"/>
  <c r="DE6" i="3" l="1"/>
  <c r="DE20" i="3"/>
  <c r="CF70" i="1"/>
  <c r="DD6" i="3"/>
  <c r="CE70" i="1"/>
  <c r="DD19" i="3"/>
  <c r="CC70" i="1"/>
  <c r="CC71" i="1" s="1"/>
  <c r="CD70" i="1"/>
  <c r="CD71" i="1" s="1"/>
  <c r="DC6" i="3"/>
  <c r="DB19" i="3"/>
  <c r="DB6" i="3"/>
  <c r="CB70" i="1"/>
  <c r="DA4" i="3"/>
  <c r="CZ6" i="3"/>
  <c r="CZ19" i="3"/>
  <c r="CA70" i="1"/>
  <c r="CY6" i="3"/>
  <c r="CY20" i="3"/>
  <c r="BZ70" i="1"/>
  <c r="BY70" i="1"/>
  <c r="BY71" i="1" s="1"/>
  <c r="CX6" i="3"/>
  <c r="BX70" i="1"/>
  <c r="BX71" i="1" s="1"/>
  <c r="CW4" i="3"/>
  <c r="CV6" i="3"/>
  <c r="CV19" i="3"/>
  <c r="BW70" i="1"/>
  <c r="BW71" i="1" s="1"/>
  <c r="BV70" i="1"/>
  <c r="CT6" i="3"/>
  <c r="CT20" i="3"/>
  <c r="CU6" i="3"/>
  <c r="BU70" i="1"/>
  <c r="CS19" i="3"/>
  <c r="CS6" i="3"/>
  <c r="BT70" i="1"/>
  <c r="BT71" i="1" s="1"/>
  <c r="BS70" i="1"/>
  <c r="CR6" i="3"/>
  <c r="CR19" i="3"/>
  <c r="BR70" i="1"/>
  <c r="BR71" i="1" s="1"/>
  <c r="CQ4" i="3"/>
  <c r="BQ70" i="1"/>
  <c r="BQ71" i="1" s="1"/>
  <c r="CP4" i="3"/>
  <c r="CO6" i="3"/>
  <c r="BP70" i="1"/>
  <c r="BO70" i="1"/>
  <c r="BO71" i="1" s="1"/>
  <c r="CN4" i="3"/>
  <c r="BN70" i="1"/>
  <c r="CM6" i="3"/>
  <c r="CM19" i="3"/>
  <c r="CL6" i="3"/>
  <c r="CL20" i="3"/>
  <c r="BM70" i="1"/>
  <c r="BM71" i="1" s="1"/>
  <c r="CK6" i="3"/>
  <c r="CK19" i="3"/>
  <c r="BL70" i="1"/>
  <c r="BL71" i="1" s="1"/>
  <c r="BK70" i="1"/>
  <c r="CJ6" i="3"/>
  <c r="BI70" i="1"/>
  <c r="CI19" i="3"/>
  <c r="CI6" i="3"/>
  <c r="BJ70" i="1"/>
  <c r="BJ71" i="1" s="1"/>
  <c r="CH6" i="3"/>
  <c r="CH19" i="3"/>
  <c r="BH70" i="1"/>
  <c r="BH71" i="1" s="1"/>
  <c r="CG6" i="3"/>
  <c r="CG20" i="3"/>
  <c r="BG68" i="1"/>
  <c r="CF5" i="3" s="1"/>
  <c r="CF20" i="3" s="1"/>
  <c r="CF22" i="3"/>
  <c r="A32" i="1"/>
  <c r="CB71" i="1" l="1"/>
  <c r="BP71" i="1"/>
  <c r="BS71" i="1"/>
  <c r="BZ71" i="1"/>
  <c r="CF71" i="1"/>
  <c r="DE21" i="3"/>
  <c r="DE8" i="3"/>
  <c r="DE23" i="3" s="1"/>
  <c r="BK71" i="1"/>
  <c r="CE71" i="1"/>
  <c r="DD21" i="3"/>
  <c r="DD8" i="3"/>
  <c r="DD23" i="3" s="1"/>
  <c r="BV71" i="1"/>
  <c r="BU71" i="1"/>
  <c r="BI71" i="1"/>
  <c r="BN71" i="1"/>
  <c r="CA71" i="1"/>
  <c r="DC8" i="3"/>
  <c r="DC23" i="3" s="1"/>
  <c r="DC21" i="3"/>
  <c r="DB8" i="3"/>
  <c r="DB23" i="3" s="1"/>
  <c r="DB21" i="3"/>
  <c r="DA6" i="3"/>
  <c r="DA19" i="3"/>
  <c r="CZ8" i="3"/>
  <c r="CZ23" i="3" s="1"/>
  <c r="CZ21" i="3"/>
  <c r="CY8" i="3"/>
  <c r="CY23" i="3" s="1"/>
  <c r="CY21" i="3"/>
  <c r="CX8" i="3"/>
  <c r="CX23" i="3" s="1"/>
  <c r="CX21" i="3"/>
  <c r="CW6" i="3"/>
  <c r="CW19" i="3"/>
  <c r="CV8" i="3"/>
  <c r="CV23" i="3" s="1"/>
  <c r="CV21" i="3"/>
  <c r="CU8" i="3"/>
  <c r="CU23" i="3" s="1"/>
  <c r="CU21" i="3"/>
  <c r="CT8" i="3"/>
  <c r="CT23" i="3" s="1"/>
  <c r="CT21" i="3"/>
  <c r="CS8" i="3"/>
  <c r="CS23" i="3" s="1"/>
  <c r="CS21" i="3"/>
  <c r="CR8" i="3"/>
  <c r="CR23" i="3" s="1"/>
  <c r="CR21" i="3"/>
  <c r="CQ6" i="3"/>
  <c r="CQ19" i="3"/>
  <c r="CO8" i="3"/>
  <c r="CO23" i="3" s="1"/>
  <c r="CO21" i="3"/>
  <c r="CP19" i="3"/>
  <c r="CP6" i="3"/>
  <c r="CN6" i="3"/>
  <c r="CN19" i="3"/>
  <c r="CM8" i="3"/>
  <c r="CM23" i="3" s="1"/>
  <c r="CM21" i="3"/>
  <c r="CL8" i="3"/>
  <c r="CL23" i="3" s="1"/>
  <c r="CL21" i="3"/>
  <c r="CK8" i="3"/>
  <c r="CK23" i="3" s="1"/>
  <c r="CK21" i="3"/>
  <c r="CJ8" i="3"/>
  <c r="CJ23" i="3" s="1"/>
  <c r="CJ21" i="3"/>
  <c r="CI21" i="3"/>
  <c r="CI8" i="3"/>
  <c r="CI23" i="3" s="1"/>
  <c r="CH8" i="3"/>
  <c r="CH23" i="3" s="1"/>
  <c r="CH21" i="3"/>
  <c r="CG8" i="3"/>
  <c r="CG23" i="3" s="1"/>
  <c r="CG21" i="3"/>
  <c r="BG69" i="1"/>
  <c r="BG66" i="1"/>
  <c r="CF4" i="3" s="1"/>
  <c r="CF19" i="3" s="1"/>
  <c r="BG67" i="1"/>
  <c r="CE22" i="3"/>
  <c r="BF66" i="1"/>
  <c r="CE4" i="3" s="1"/>
  <c r="BF67" i="1"/>
  <c r="CE5" i="3"/>
  <c r="CE20" i="3" s="1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Z22" i="3"/>
  <c r="CA22" i="3"/>
  <c r="CB22" i="3"/>
  <c r="CC22" i="3"/>
  <c r="CD22" i="3"/>
  <c r="BE66" i="1"/>
  <c r="BE67" i="1"/>
  <c r="BE68" i="1"/>
  <c r="CD5" i="3" s="1"/>
  <c r="CD20" i="3" s="1"/>
  <c r="BD68" i="1"/>
  <c r="CC5" i="3" s="1"/>
  <c r="CC20" i="3" s="1"/>
  <c r="BD67" i="1"/>
  <c r="BD66" i="1"/>
  <c r="BC68" i="1"/>
  <c r="CB5" i="3" s="1"/>
  <c r="CB20" i="3" s="1"/>
  <c r="BC67" i="1"/>
  <c r="BC66" i="1"/>
  <c r="CB4" i="3" s="1"/>
  <c r="CB19" i="3" s="1"/>
  <c r="BB66" i="1"/>
  <c r="CA4" i="3" s="1"/>
  <c r="CA19" i="3" s="1"/>
  <c r="BB67" i="1"/>
  <c r="BB68" i="1"/>
  <c r="CA5" i="3" s="1"/>
  <c r="CA20" i="3" s="1"/>
  <c r="BA68" i="1"/>
  <c r="BZ5" i="3" s="1"/>
  <c r="BZ20" i="3" s="1"/>
  <c r="BA67" i="1"/>
  <c r="BA66" i="1"/>
  <c r="BC10" i="1"/>
  <c r="BE10" i="1"/>
  <c r="BG10" i="1"/>
  <c r="BD10" i="1"/>
  <c r="BF10" i="1"/>
  <c r="AZ10" i="1"/>
  <c r="BB10" i="1"/>
  <c r="BA10" i="1"/>
  <c r="DA8" i="3" l="1"/>
  <c r="DA23" i="3" s="1"/>
  <c r="DA21" i="3"/>
  <c r="CW8" i="3"/>
  <c r="CW23" i="3" s="1"/>
  <c r="CW21" i="3"/>
  <c r="CQ8" i="3"/>
  <c r="CQ23" i="3" s="1"/>
  <c r="CQ21" i="3"/>
  <c r="CP8" i="3"/>
  <c r="CP23" i="3" s="1"/>
  <c r="CP21" i="3"/>
  <c r="CN8" i="3"/>
  <c r="CN23" i="3" s="1"/>
  <c r="CN21" i="3"/>
  <c r="CF6" i="3"/>
  <c r="BG70" i="1"/>
  <c r="BG71" i="1" s="1"/>
  <c r="BF70" i="1"/>
  <c r="BF71" i="1" s="1"/>
  <c r="CE6" i="3"/>
  <c r="CE19" i="3"/>
  <c r="BE70" i="1"/>
  <c r="BE71" i="1" s="1"/>
  <c r="CD4" i="3"/>
  <c r="CD19" i="3" s="1"/>
  <c r="BD70" i="1"/>
  <c r="BD71" i="1" s="1"/>
  <c r="CB6" i="3"/>
  <c r="CC4" i="3"/>
  <c r="CA6" i="3"/>
  <c r="BC70" i="1"/>
  <c r="BC71" i="1" s="1"/>
  <c r="BB70" i="1"/>
  <c r="BB71" i="1" s="1"/>
  <c r="BA70" i="1"/>
  <c r="BA71" i="1" s="1"/>
  <c r="BZ4" i="3"/>
  <c r="AZ68" i="1"/>
  <c r="BY5" i="3" s="1"/>
  <c r="BY20" i="3" s="1"/>
  <c r="AZ67" i="1"/>
  <c r="AZ66" i="1"/>
  <c r="BY4" i="3" s="1"/>
  <c r="BY19" i="3" s="1"/>
  <c r="AY66" i="1"/>
  <c r="BX4" i="3" s="1"/>
  <c r="BX19" i="3" s="1"/>
  <c r="AY67" i="1"/>
  <c r="AY68" i="1"/>
  <c r="AX66" i="1"/>
  <c r="BW4" i="3" s="1"/>
  <c r="BW19" i="3" s="1"/>
  <c r="AX67" i="1"/>
  <c r="AX68" i="1"/>
  <c r="BW5" i="3" s="1"/>
  <c r="BW20" i="3" s="1"/>
  <c r="AW66" i="1"/>
  <c r="BV4" i="3" s="1"/>
  <c r="BV19" i="3" s="1"/>
  <c r="AW67" i="1"/>
  <c r="AW68" i="1"/>
  <c r="BV5" i="3" s="1"/>
  <c r="BV20" i="3" s="1"/>
  <c r="AV66" i="1"/>
  <c r="BU4" i="3" s="1"/>
  <c r="BU19" i="3" s="1"/>
  <c r="AV67" i="1"/>
  <c r="AV68" i="1"/>
  <c r="AV69" i="1"/>
  <c r="AU69" i="1"/>
  <c r="AU68" i="1"/>
  <c r="BT5" i="3" s="1"/>
  <c r="BT20" i="3" s="1"/>
  <c r="AU67" i="1"/>
  <c r="AU66" i="1"/>
  <c r="AT69" i="1"/>
  <c r="AT68" i="1"/>
  <c r="BS5" i="3" s="1"/>
  <c r="BS20" i="3" s="1"/>
  <c r="AT67" i="1"/>
  <c r="AT66" i="1"/>
  <c r="AV10" i="1"/>
  <c r="AW10" i="1"/>
  <c r="AX10" i="1"/>
  <c r="AU10" i="1"/>
  <c r="AY10" i="1"/>
  <c r="CF8" i="3" l="1"/>
  <c r="CF23" i="3" s="1"/>
  <c r="CF21" i="3"/>
  <c r="CE8" i="3"/>
  <c r="CE23" i="3" s="1"/>
  <c r="CE21" i="3"/>
  <c r="CD6" i="3"/>
  <c r="CD8" i="3" s="1"/>
  <c r="CD23" i="3" s="1"/>
  <c r="CB8" i="3"/>
  <c r="CB23" i="3" s="1"/>
  <c r="CB21" i="3"/>
  <c r="BZ6" i="3"/>
  <c r="BZ19" i="3"/>
  <c r="CA8" i="3"/>
  <c r="CA23" i="3" s="1"/>
  <c r="CA21" i="3"/>
  <c r="CC6" i="3"/>
  <c r="CC19" i="3"/>
  <c r="BY6" i="3"/>
  <c r="AZ70" i="1"/>
  <c r="AZ71" i="1" s="1"/>
  <c r="AY70" i="1"/>
  <c r="AY71" i="1" s="1"/>
  <c r="AX70" i="1"/>
  <c r="AX71" i="1" s="1"/>
  <c r="BX5" i="3"/>
  <c r="BW6" i="3"/>
  <c r="AW70" i="1"/>
  <c r="AW71" i="1" s="1"/>
  <c r="BV6" i="3"/>
  <c r="AV70" i="1"/>
  <c r="AV71" i="1" s="1"/>
  <c r="BU5" i="3"/>
  <c r="AU70" i="1"/>
  <c r="AU71" i="1" s="1"/>
  <c r="BT4" i="3"/>
  <c r="AT70" i="1"/>
  <c r="BS4" i="3"/>
  <c r="AS69" i="1"/>
  <c r="AS68" i="1"/>
  <c r="BR5" i="3" s="1"/>
  <c r="BR20" i="3" s="1"/>
  <c r="AS67" i="1"/>
  <c r="AS66" i="1"/>
  <c r="AT10" i="1"/>
  <c r="CD21" i="3" l="1"/>
  <c r="BW8" i="3"/>
  <c r="BW23" i="3" s="1"/>
  <c r="BW21" i="3"/>
  <c r="CC8" i="3"/>
  <c r="CC23" i="3" s="1"/>
  <c r="CC21" i="3"/>
  <c r="BU6" i="3"/>
  <c r="BU20" i="3"/>
  <c r="BX6" i="3"/>
  <c r="BX20" i="3"/>
  <c r="BY8" i="3"/>
  <c r="BY21" i="3"/>
  <c r="BS6" i="3"/>
  <c r="BS19" i="3"/>
  <c r="BT6" i="3"/>
  <c r="BT19" i="3"/>
  <c r="BZ8" i="3"/>
  <c r="BZ23" i="3" s="1"/>
  <c r="BZ21" i="3"/>
  <c r="BV8" i="3"/>
  <c r="BV23" i="3" s="1"/>
  <c r="BV21" i="3"/>
  <c r="AT71" i="1"/>
  <c r="AS70" i="1"/>
  <c r="AS71" i="1" s="1"/>
  <c r="BR4" i="3"/>
  <c r="AR69" i="1"/>
  <c r="AR68" i="1"/>
  <c r="BQ5" i="3" s="1"/>
  <c r="BQ20" i="3" s="1"/>
  <c r="AR67" i="1"/>
  <c r="AR66" i="1"/>
  <c r="AS10" i="1"/>
  <c r="BU8" i="3" l="1"/>
  <c r="BU23" i="3" s="1"/>
  <c r="BU21" i="3"/>
  <c r="BT8" i="3"/>
  <c r="BT23" i="3" s="1"/>
  <c r="BT21" i="3"/>
  <c r="BS8" i="3"/>
  <c r="BS23" i="3" s="1"/>
  <c r="BS21" i="3"/>
  <c r="BX8" i="3"/>
  <c r="BX21" i="3"/>
  <c r="BR6" i="3"/>
  <c r="BR19" i="3"/>
  <c r="AR70" i="1"/>
  <c r="AR71" i="1" s="1"/>
  <c r="BQ4" i="3"/>
  <c r="AQ69" i="1"/>
  <c r="AQ68" i="1"/>
  <c r="BP5" i="3" s="1"/>
  <c r="BP20" i="3" s="1"/>
  <c r="AQ67" i="1"/>
  <c r="AQ66" i="1"/>
  <c r="AR10" i="1"/>
  <c r="BQ6" i="3" l="1"/>
  <c r="BQ19" i="3"/>
  <c r="BR8" i="3"/>
  <c r="BR23" i="3" s="1"/>
  <c r="BR21" i="3"/>
  <c r="AQ70" i="1"/>
  <c r="AQ71" i="1" s="1"/>
  <c r="BP4" i="3"/>
  <c r="AP69" i="1"/>
  <c r="AP68" i="1"/>
  <c r="BO5" i="3" s="1"/>
  <c r="BO20" i="3" s="1"/>
  <c r="AP67" i="1"/>
  <c r="AP66" i="1"/>
  <c r="AQ10" i="1"/>
  <c r="A25" i="1"/>
  <c r="BP6" i="3" l="1"/>
  <c r="BP19" i="3"/>
  <c r="BQ8" i="3"/>
  <c r="BQ23" i="3" s="1"/>
  <c r="BQ21" i="3"/>
  <c r="AP70" i="1"/>
  <c r="AP71" i="1" s="1"/>
  <c r="BO4" i="3"/>
  <c r="AO69" i="1"/>
  <c r="AO68" i="1"/>
  <c r="BN5" i="3" s="1"/>
  <c r="BN20" i="3" s="1"/>
  <c r="AO67" i="1"/>
  <c r="AO66" i="1"/>
  <c r="AP10" i="1"/>
  <c r="AO10" i="1"/>
  <c r="BO6" i="3" l="1"/>
  <c r="BO19" i="3"/>
  <c r="BP8" i="3"/>
  <c r="BP23" i="3" s="1"/>
  <c r="BP21" i="3"/>
  <c r="AO70" i="1"/>
  <c r="AO71" i="1" s="1"/>
  <c r="BN4" i="3"/>
  <c r="AN69" i="1"/>
  <c r="AN68" i="1"/>
  <c r="BM5" i="3" s="1"/>
  <c r="BM20" i="3" s="1"/>
  <c r="AN67" i="1"/>
  <c r="AN66" i="1"/>
  <c r="BN6" i="3" l="1"/>
  <c r="BN19" i="3"/>
  <c r="BO8" i="3"/>
  <c r="BO23" i="3" s="1"/>
  <c r="BO21" i="3"/>
  <c r="AN70" i="1"/>
  <c r="AN71" i="1" s="1"/>
  <c r="BM4" i="3"/>
  <c r="AM68" i="1"/>
  <c r="A37" i="1"/>
  <c r="AN10" i="1"/>
  <c r="BM6" i="3" l="1"/>
  <c r="BM19" i="3"/>
  <c r="BN8" i="3"/>
  <c r="BN23" i="3" s="1"/>
  <c r="BN21" i="3"/>
  <c r="AM69" i="1"/>
  <c r="BL5" i="3"/>
  <c r="BL20" i="3" s="1"/>
  <c r="AM67" i="1"/>
  <c r="AM66" i="1"/>
  <c r="BM8" i="3" l="1"/>
  <c r="BM23" i="3" s="1"/>
  <c r="BM21" i="3"/>
  <c r="AM70" i="1"/>
  <c r="AM71" i="1" s="1"/>
  <c r="BL4" i="3"/>
  <c r="AL69" i="1"/>
  <c r="AL68" i="1"/>
  <c r="BK5" i="3" s="1"/>
  <c r="BK20" i="3" s="1"/>
  <c r="AL67" i="1"/>
  <c r="AL66" i="1"/>
  <c r="AM10" i="1"/>
  <c r="BL6" i="3" l="1"/>
  <c r="BL19" i="3"/>
  <c r="AL70" i="1"/>
  <c r="AL71" i="1" s="1"/>
  <c r="BK4" i="3"/>
  <c r="AK69" i="1"/>
  <c r="AK68" i="1"/>
  <c r="BJ5" i="3" s="1"/>
  <c r="BJ20" i="3" s="1"/>
  <c r="AK67" i="1"/>
  <c r="AK66" i="1"/>
  <c r="AL10" i="1"/>
  <c r="BK6" i="3" l="1"/>
  <c r="BK19" i="3"/>
  <c r="BL8" i="3"/>
  <c r="BL23" i="3" s="1"/>
  <c r="BL21" i="3"/>
  <c r="AK70" i="1"/>
  <c r="AK71" i="1" s="1"/>
  <c r="BJ4" i="3"/>
  <c r="AJ69" i="1"/>
  <c r="AJ68" i="1"/>
  <c r="BI5" i="3" s="1"/>
  <c r="BI20" i="3" s="1"/>
  <c r="AJ67" i="1"/>
  <c r="AJ66" i="1"/>
  <c r="AK10" i="1"/>
  <c r="BJ6" i="3" l="1"/>
  <c r="BJ19" i="3"/>
  <c r="BK8" i="3"/>
  <c r="BK23" i="3" s="1"/>
  <c r="BK21" i="3"/>
  <c r="AJ70" i="1"/>
  <c r="AJ71" i="1" s="1"/>
  <c r="BI4" i="3"/>
  <c r="AI69" i="1"/>
  <c r="AI68" i="1"/>
  <c r="BH5" i="3" s="1"/>
  <c r="BH20" i="3" s="1"/>
  <c r="AI67" i="1"/>
  <c r="AI66" i="1"/>
  <c r="AJ10" i="1"/>
  <c r="BI6" i="3" l="1"/>
  <c r="BI19" i="3"/>
  <c r="BJ8" i="3"/>
  <c r="BJ23" i="3" s="1"/>
  <c r="BJ21" i="3"/>
  <c r="AI70" i="1"/>
  <c r="AI71" i="1" s="1"/>
  <c r="BH4" i="3"/>
  <c r="AH68" i="1"/>
  <c r="AI10" i="1"/>
  <c r="A31" i="1"/>
  <c r="BH6" i="3" l="1"/>
  <c r="BH19" i="3"/>
  <c r="BI8" i="3"/>
  <c r="BI23" i="3" s="1"/>
  <c r="BI21" i="3"/>
  <c r="AH69" i="1"/>
  <c r="BG5" i="3"/>
  <c r="BG20" i="3" s="1"/>
  <c r="AH67" i="1"/>
  <c r="AH66" i="1"/>
  <c r="BH8" i="3" l="1"/>
  <c r="BH23" i="3" s="1"/>
  <c r="BH21" i="3"/>
  <c r="AH70" i="1"/>
  <c r="AH71" i="1" s="1"/>
  <c r="BG4" i="3"/>
  <c r="AG69" i="1"/>
  <c r="AG68" i="1"/>
  <c r="BF5" i="3" s="1"/>
  <c r="BF20" i="3" s="1"/>
  <c r="AG67" i="1"/>
  <c r="AG66" i="1"/>
  <c r="AH10" i="1"/>
  <c r="BG6" i="3" l="1"/>
  <c r="BG19" i="3"/>
  <c r="AG70" i="1"/>
  <c r="AG71" i="1" s="1"/>
  <c r="BF4" i="3"/>
  <c r="AF69" i="1"/>
  <c r="AF68" i="1"/>
  <c r="BE5" i="3" s="1"/>
  <c r="BE20" i="3" s="1"/>
  <c r="AF67" i="1"/>
  <c r="AF66" i="1"/>
  <c r="AF10" i="1"/>
  <c r="AG10" i="1"/>
  <c r="BF6" i="3" l="1"/>
  <c r="BF19" i="3"/>
  <c r="BG8" i="3"/>
  <c r="BG23" i="3" s="1"/>
  <c r="BG21" i="3"/>
  <c r="AF70" i="1"/>
  <c r="AF71" i="1" s="1"/>
  <c r="BE4" i="3"/>
  <c r="AE69" i="1"/>
  <c r="AE68" i="1"/>
  <c r="BD5" i="3" s="1"/>
  <c r="BD20" i="3" s="1"/>
  <c r="AE67" i="1"/>
  <c r="AE66" i="1"/>
  <c r="BE6" i="3" l="1"/>
  <c r="BE19" i="3"/>
  <c r="BF8" i="3"/>
  <c r="BF23" i="3" s="1"/>
  <c r="BF21" i="3"/>
  <c r="AE70" i="1"/>
  <c r="AE71" i="1" s="1"/>
  <c r="BD4" i="3"/>
  <c r="AD69" i="1"/>
  <c r="AC69" i="1"/>
  <c r="AD66" i="1"/>
  <c r="BC4" i="3" s="1"/>
  <c r="BC19" i="3" s="1"/>
  <c r="AD67" i="1"/>
  <c r="AD68" i="1"/>
  <c r="BC5" i="3" s="1"/>
  <c r="BC20" i="3" s="1"/>
  <c r="AE10" i="1"/>
  <c r="AD10" i="1"/>
  <c r="BD6" i="3" l="1"/>
  <c r="BD19" i="3"/>
  <c r="BE8" i="3"/>
  <c r="BE23" i="3" s="1"/>
  <c r="BE21" i="3"/>
  <c r="AD70" i="1"/>
  <c r="AD71" i="1" s="1"/>
  <c r="BC6" i="3"/>
  <c r="AC68" i="1"/>
  <c r="BB5" i="3" s="1"/>
  <c r="BB20" i="3" s="1"/>
  <c r="AC67" i="1"/>
  <c r="AC66" i="1"/>
  <c r="BB4" i="3" s="1"/>
  <c r="BB19" i="3" s="1"/>
  <c r="BC8" i="3" l="1"/>
  <c r="BC23" i="3" s="1"/>
  <c r="BC21" i="3"/>
  <c r="BD8" i="3"/>
  <c r="BD23" i="3" s="1"/>
  <c r="BD21" i="3"/>
  <c r="BB6" i="3"/>
  <c r="A71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AA68" i="1"/>
  <c r="AZ5" i="3" s="1"/>
  <c r="AZ20" i="3" s="1"/>
  <c r="AB68" i="1"/>
  <c r="BA5" i="3" s="1"/>
  <c r="BA20" i="3" s="1"/>
  <c r="Z68" i="1"/>
  <c r="AY5" i="3" s="1"/>
  <c r="AY20" i="3" s="1"/>
  <c r="AB69" i="1"/>
  <c r="AB67" i="1"/>
  <c r="AB66" i="1"/>
  <c r="AA66" i="1"/>
  <c r="AA67" i="1"/>
  <c r="AA69" i="1"/>
  <c r="AY22" i="3"/>
  <c r="Z69" i="1"/>
  <c r="Z67" i="1"/>
  <c r="Z66" i="1"/>
  <c r="AY4" i="3" s="1"/>
  <c r="Z10" i="1"/>
  <c r="AC10" i="1"/>
  <c r="AA10" i="1"/>
  <c r="AB10" i="1"/>
  <c r="BB8" i="3" l="1"/>
  <c r="BB23" i="3" s="1"/>
  <c r="BB21" i="3"/>
  <c r="AB70" i="1"/>
  <c r="AB71" i="1" s="1"/>
  <c r="BA4" i="3"/>
  <c r="AA70" i="1"/>
  <c r="AA71" i="1" s="1"/>
  <c r="AZ4" i="3"/>
  <c r="AY6" i="3"/>
  <c r="AY19" i="3"/>
  <c r="Z70" i="1"/>
  <c r="Z71" i="1" s="1"/>
  <c r="AX22" i="3"/>
  <c r="AZ6" i="3" l="1"/>
  <c r="AZ19" i="3"/>
  <c r="BA6" i="3"/>
  <c r="BA19" i="3"/>
  <c r="AY8" i="3"/>
  <c r="AY23" i="3" s="1"/>
  <c r="AY21" i="3"/>
  <c r="AV22" i="3"/>
  <c r="AW22" i="3"/>
  <c r="BA8" i="3" l="1"/>
  <c r="BA23" i="3" s="1"/>
  <c r="BA21" i="3"/>
  <c r="AZ8" i="3"/>
  <c r="AZ23" i="3" s="1"/>
  <c r="AZ21" i="3"/>
  <c r="V66" i="1"/>
  <c r="AU4" i="3" s="1"/>
  <c r="AU22" i="3" l="1"/>
  <c r="W66" i="1"/>
  <c r="AV4" i="3" s="1"/>
  <c r="X66" i="1"/>
  <c r="AW4" i="3" s="1"/>
  <c r="AW19" i="3" s="1"/>
  <c r="Y66" i="1"/>
  <c r="AX4" i="3" s="1"/>
  <c r="W67" i="1"/>
  <c r="X67" i="1"/>
  <c r="Y67" i="1"/>
  <c r="AV5" i="3"/>
  <c r="AV20" i="3" s="1"/>
  <c r="AW5" i="3"/>
  <c r="AX5" i="3"/>
  <c r="AX20" i="3" s="1"/>
  <c r="W69" i="1"/>
  <c r="X69" i="1"/>
  <c r="Y69" i="1"/>
  <c r="V67" i="1"/>
  <c r="V69" i="1"/>
  <c r="A22" i="1"/>
  <c r="A17" i="1"/>
  <c r="A34" i="1"/>
  <c r="A29" i="1"/>
  <c r="A26" i="1"/>
  <c r="A33" i="1"/>
  <c r="A28" i="1"/>
  <c r="A23" i="1"/>
  <c r="A24" i="1"/>
  <c r="A30" i="1"/>
  <c r="A35" i="1"/>
  <c r="A21" i="1"/>
  <c r="A27" i="1"/>
  <c r="A19" i="1"/>
  <c r="A18" i="1"/>
  <c r="A20" i="1"/>
  <c r="AX19" i="3" l="1"/>
  <c r="AX6" i="3"/>
  <c r="AV19" i="3"/>
  <c r="AV6" i="3"/>
  <c r="AW6" i="3"/>
  <c r="AW20" i="3"/>
  <c r="AU5" i="3"/>
  <c r="AU6" i="3" s="1"/>
  <c r="AU8" i="3" s="1"/>
  <c r="AU19" i="3"/>
  <c r="Y70" i="1"/>
  <c r="Y71" i="1" s="1"/>
  <c r="X70" i="1"/>
  <c r="X71" i="1" s="1"/>
  <c r="W70" i="1"/>
  <c r="W71" i="1" s="1"/>
  <c r="V70" i="1"/>
  <c r="V71" i="1" s="1"/>
  <c r="AT22" i="3"/>
  <c r="B66" i="1"/>
  <c r="AA4" i="3" s="1"/>
  <c r="C66" i="1"/>
  <c r="AB4" i="3" s="1"/>
  <c r="AB19" i="3" s="1"/>
  <c r="D66" i="1"/>
  <c r="E66" i="1"/>
  <c r="AD4" i="3" s="1"/>
  <c r="F66" i="1"/>
  <c r="AE4" i="3" s="1"/>
  <c r="G66" i="1"/>
  <c r="AF4" i="3" s="1"/>
  <c r="AF19" i="3" s="1"/>
  <c r="B67" i="1"/>
  <c r="C67" i="1"/>
  <c r="D67" i="1"/>
  <c r="E67" i="1"/>
  <c r="F67" i="1"/>
  <c r="G67" i="1"/>
  <c r="AA5" i="3"/>
  <c r="AA20" i="3" s="1"/>
  <c r="AB5" i="3"/>
  <c r="AB20" i="3" s="1"/>
  <c r="AC5" i="3"/>
  <c r="AC20" i="3" s="1"/>
  <c r="AD5" i="3"/>
  <c r="AD20" i="3" s="1"/>
  <c r="AE5" i="3"/>
  <c r="AE20" i="3" s="1"/>
  <c r="AF5" i="3"/>
  <c r="B69" i="1"/>
  <c r="C69" i="1"/>
  <c r="D69" i="1"/>
  <c r="E69" i="1"/>
  <c r="F69" i="1"/>
  <c r="G69" i="1"/>
  <c r="H50" i="3"/>
  <c r="AQ22" i="3"/>
  <c r="AM22" i="3"/>
  <c r="AL22" i="3"/>
  <c r="AI22" i="3"/>
  <c r="AE22" i="3"/>
  <c r="AD22" i="3"/>
  <c r="AA22" i="3"/>
  <c r="AS22" i="3"/>
  <c r="AR22" i="3"/>
  <c r="AP22" i="3"/>
  <c r="AO22" i="3"/>
  <c r="AN22" i="3"/>
  <c r="AK22" i="3"/>
  <c r="AJ22" i="3"/>
  <c r="AH22" i="3"/>
  <c r="AG22" i="3"/>
  <c r="AF22" i="3"/>
  <c r="AC22" i="3"/>
  <c r="AB22" i="3"/>
  <c r="Z7" i="3"/>
  <c r="Z22" i="3" s="1"/>
  <c r="Y7" i="3"/>
  <c r="Y22" i="3" s="1"/>
  <c r="X7" i="3"/>
  <c r="X22" i="3" s="1"/>
  <c r="W7" i="3"/>
  <c r="W22" i="3" s="1"/>
  <c r="V7" i="3"/>
  <c r="V22" i="3" s="1"/>
  <c r="U7" i="3"/>
  <c r="U22" i="3" s="1"/>
  <c r="T7" i="3"/>
  <c r="T22" i="3" s="1"/>
  <c r="S7" i="3"/>
  <c r="S22" i="3" s="1"/>
  <c r="R7" i="3"/>
  <c r="R22" i="3" s="1"/>
  <c r="Q7" i="3"/>
  <c r="Q22" i="3" s="1"/>
  <c r="P7" i="3"/>
  <c r="P22" i="3" s="1"/>
  <c r="O7" i="3"/>
  <c r="O22" i="3" s="1"/>
  <c r="N7" i="3"/>
  <c r="N22" i="3" s="1"/>
  <c r="M7" i="3"/>
  <c r="M22" i="3" s="1"/>
  <c r="L7" i="3"/>
  <c r="L22" i="3" s="1"/>
  <c r="K7" i="3"/>
  <c r="K22" i="3" s="1"/>
  <c r="J7" i="3"/>
  <c r="J22" i="3" s="1"/>
  <c r="I7" i="3"/>
  <c r="I22" i="3" s="1"/>
  <c r="H7" i="3"/>
  <c r="H22" i="3" s="1"/>
  <c r="G7" i="3"/>
  <c r="G22" i="3" s="1"/>
  <c r="F7" i="3"/>
  <c r="F22" i="3" s="1"/>
  <c r="E7" i="3"/>
  <c r="E22" i="3" s="1"/>
  <c r="D7" i="3"/>
  <c r="D22" i="3" s="1"/>
  <c r="C7" i="3"/>
  <c r="C22" i="3" s="1"/>
  <c r="Z5" i="3"/>
  <c r="Z20" i="3" s="1"/>
  <c r="Y5" i="3"/>
  <c r="Y20" i="3" s="1"/>
  <c r="X5" i="3"/>
  <c r="X20" i="3" s="1"/>
  <c r="W5" i="3"/>
  <c r="W20" i="3" s="1"/>
  <c r="V5" i="3"/>
  <c r="V20" i="3" s="1"/>
  <c r="U5" i="3"/>
  <c r="U20" i="3" s="1"/>
  <c r="T5" i="3"/>
  <c r="T20" i="3" s="1"/>
  <c r="S5" i="3"/>
  <c r="S20" i="3" s="1"/>
  <c r="R5" i="3"/>
  <c r="R20" i="3" s="1"/>
  <c r="Q5" i="3"/>
  <c r="Q20" i="3" s="1"/>
  <c r="P5" i="3"/>
  <c r="O5" i="3"/>
  <c r="O20" i="3" s="1"/>
  <c r="N5" i="3"/>
  <c r="N20" i="3" s="1"/>
  <c r="M5" i="3"/>
  <c r="M20" i="3" s="1"/>
  <c r="L5" i="3"/>
  <c r="L20" i="3" s="1"/>
  <c r="K5" i="3"/>
  <c r="K20" i="3" s="1"/>
  <c r="J5" i="3"/>
  <c r="J20" i="3" s="1"/>
  <c r="I5" i="3"/>
  <c r="I20" i="3" s="1"/>
  <c r="H5" i="3"/>
  <c r="H20" i="3" s="1"/>
  <c r="G5" i="3"/>
  <c r="G20" i="3" s="1"/>
  <c r="F5" i="3"/>
  <c r="F20" i="3" s="1"/>
  <c r="E5" i="3"/>
  <c r="E20" i="3" s="1"/>
  <c r="D5" i="3"/>
  <c r="D20" i="3" s="1"/>
  <c r="C5" i="3"/>
  <c r="C20" i="3" s="1"/>
  <c r="Z4" i="3"/>
  <c r="Y4" i="3"/>
  <c r="Y19" i="3" s="1"/>
  <c r="X4" i="3"/>
  <c r="X19" i="3" s="1"/>
  <c r="W4" i="3"/>
  <c r="V4" i="3"/>
  <c r="U4" i="3"/>
  <c r="U19" i="3" s="1"/>
  <c r="T4" i="3"/>
  <c r="T19" i="3" s="1"/>
  <c r="S4" i="3"/>
  <c r="R4" i="3"/>
  <c r="Q4" i="3"/>
  <c r="Q19" i="3" s="1"/>
  <c r="P4" i="3"/>
  <c r="P19" i="3" s="1"/>
  <c r="O4" i="3"/>
  <c r="N4" i="3"/>
  <c r="M4" i="3"/>
  <c r="M19" i="3" s="1"/>
  <c r="L4" i="3"/>
  <c r="L19" i="3" s="1"/>
  <c r="K4" i="3"/>
  <c r="J4" i="3"/>
  <c r="I4" i="3"/>
  <c r="I19" i="3" s="1"/>
  <c r="H4" i="3"/>
  <c r="H19" i="3" s="1"/>
  <c r="G4" i="3"/>
  <c r="F4" i="3"/>
  <c r="E4" i="3"/>
  <c r="E19" i="3" s="1"/>
  <c r="D4" i="3"/>
  <c r="D19" i="3" s="1"/>
  <c r="C4" i="3"/>
  <c r="AM5" i="3"/>
  <c r="AM20" i="3" s="1"/>
  <c r="AN5" i="3"/>
  <c r="AN20" i="3" s="1"/>
  <c r="AO5" i="3"/>
  <c r="AO20" i="3" s="1"/>
  <c r="AP5" i="3"/>
  <c r="AP20" i="3" s="1"/>
  <c r="AQ5" i="3"/>
  <c r="AQ20" i="3" s="1"/>
  <c r="AR5" i="3"/>
  <c r="AR20" i="3" s="1"/>
  <c r="AS5" i="3"/>
  <c r="AS20" i="3" s="1"/>
  <c r="AT5" i="3"/>
  <c r="AT20" i="3" s="1"/>
  <c r="AG5" i="3"/>
  <c r="AG20" i="3" s="1"/>
  <c r="AH5" i="3"/>
  <c r="AH20" i="3" s="1"/>
  <c r="AI5" i="3"/>
  <c r="AI20" i="3" s="1"/>
  <c r="AJ5" i="3"/>
  <c r="AK5" i="3"/>
  <c r="AK20" i="3" s="1"/>
  <c r="AL5" i="3"/>
  <c r="AL20" i="3" s="1"/>
  <c r="K67" i="1"/>
  <c r="L66" i="1"/>
  <c r="AK4" i="3" s="1"/>
  <c r="M66" i="1"/>
  <c r="AL4" i="3" s="1"/>
  <c r="N66" i="1"/>
  <c r="AM4" i="3" s="1"/>
  <c r="O66" i="1"/>
  <c r="AN4" i="3" s="1"/>
  <c r="AN19" i="3" s="1"/>
  <c r="P66" i="1"/>
  <c r="AO4" i="3" s="1"/>
  <c r="Q66" i="1"/>
  <c r="AP4" i="3" s="1"/>
  <c r="R66" i="1"/>
  <c r="AQ4" i="3" s="1"/>
  <c r="S66" i="1"/>
  <c r="AR4" i="3" s="1"/>
  <c r="AR19" i="3" s="1"/>
  <c r="T66" i="1"/>
  <c r="AS4" i="3" s="1"/>
  <c r="U66" i="1"/>
  <c r="AT4" i="3" s="1"/>
  <c r="H66" i="1"/>
  <c r="AG4" i="3" s="1"/>
  <c r="I66" i="1"/>
  <c r="AH4" i="3" s="1"/>
  <c r="J66" i="1"/>
  <c r="AI4" i="3" s="1"/>
  <c r="K66" i="1"/>
  <c r="AJ4" i="3" s="1"/>
  <c r="AJ19" i="3" s="1"/>
  <c r="I67" i="1"/>
  <c r="J67" i="1"/>
  <c r="L67" i="1"/>
  <c r="M67" i="1"/>
  <c r="N67" i="1"/>
  <c r="O67" i="1"/>
  <c r="P67" i="1"/>
  <c r="Q67" i="1"/>
  <c r="R67" i="1"/>
  <c r="S67" i="1"/>
  <c r="T67" i="1"/>
  <c r="U67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H69" i="1"/>
  <c r="H67" i="1"/>
  <c r="A55" i="1"/>
  <c r="A59" i="1"/>
  <c r="A51" i="1"/>
  <c r="A48" i="1"/>
  <c r="N10" i="1"/>
  <c r="A53" i="1"/>
  <c r="A36" i="1"/>
  <c r="A13" i="1"/>
  <c r="E10" i="1"/>
  <c r="V10" i="1"/>
  <c r="J10" i="1"/>
  <c r="B10" i="1"/>
  <c r="A42" i="1"/>
  <c r="P10" i="1"/>
  <c r="G10" i="1"/>
  <c r="F10" i="1"/>
  <c r="A15" i="1"/>
  <c r="A12" i="1"/>
  <c r="A57" i="1"/>
  <c r="U10" i="1"/>
  <c r="A47" i="1"/>
  <c r="A41" i="1"/>
  <c r="S10" i="1"/>
  <c r="A39" i="1"/>
  <c r="R10" i="1"/>
  <c r="A54" i="1"/>
  <c r="A38" i="1"/>
  <c r="A45" i="1"/>
  <c r="D10" i="1"/>
  <c r="O10" i="1"/>
  <c r="A58" i="1"/>
  <c r="X10" i="1"/>
  <c r="C10" i="1"/>
  <c r="T10" i="1"/>
  <c r="A44" i="1"/>
  <c r="W10" i="1"/>
  <c r="I10" i="1"/>
  <c r="L10" i="1"/>
  <c r="A56" i="1"/>
  <c r="A50" i="1"/>
  <c r="M10" i="1"/>
  <c r="A11" i="1"/>
  <c r="H10" i="1"/>
  <c r="A16" i="1"/>
  <c r="A14" i="1"/>
  <c r="A46" i="1"/>
  <c r="A52" i="1"/>
  <c r="A43" i="1"/>
  <c r="A40" i="1"/>
  <c r="Q10" i="1"/>
  <c r="K10" i="1"/>
  <c r="Y10" i="1"/>
  <c r="A49" i="1"/>
  <c r="AF6" i="3" l="1"/>
  <c r="AF8" i="3" s="1"/>
  <c r="AF23" i="3" s="1"/>
  <c r="AC70" i="1"/>
  <c r="AC71" i="1" s="1"/>
  <c r="AQ6" i="3"/>
  <c r="AQ8" i="3" s="1"/>
  <c r="AQ23" i="3" s="1"/>
  <c r="AM6" i="3"/>
  <c r="AM8" i="3" s="1"/>
  <c r="AM23" i="3" s="1"/>
  <c r="AX8" i="3"/>
  <c r="AX23" i="3" s="1"/>
  <c r="AX21" i="3"/>
  <c r="AW8" i="3"/>
  <c r="AW23" i="3" s="1"/>
  <c r="AW21" i="3"/>
  <c r="AV8" i="3"/>
  <c r="AV23" i="3" s="1"/>
  <c r="AV21" i="3"/>
  <c r="Y6" i="3"/>
  <c r="Y8" i="3" s="1"/>
  <c r="Y23" i="3" s="1"/>
  <c r="T70" i="1"/>
  <c r="T71" i="1" s="1"/>
  <c r="AU20" i="3"/>
  <c r="AP6" i="3"/>
  <c r="AP8" i="3" s="1"/>
  <c r="AU23" i="3"/>
  <c r="AU21" i="3"/>
  <c r="I6" i="3"/>
  <c r="I8" i="3" s="1"/>
  <c r="I23" i="3" s="1"/>
  <c r="I70" i="1"/>
  <c r="I71" i="1" s="1"/>
  <c r="AE6" i="3"/>
  <c r="AE8" i="3" s="1"/>
  <c r="AE23" i="3" s="1"/>
  <c r="AA6" i="3"/>
  <c r="AA21" i="3" s="1"/>
  <c r="P70" i="1"/>
  <c r="P71" i="1" s="1"/>
  <c r="AI6" i="3"/>
  <c r="AI21" i="3" s="1"/>
  <c r="D70" i="1"/>
  <c r="D71" i="1" s="1"/>
  <c r="AD6" i="3"/>
  <c r="AD8" i="3" s="1"/>
  <c r="AG19" i="3"/>
  <c r="AG6" i="3"/>
  <c r="AG8" i="3" s="1"/>
  <c r="AG23" i="3" s="1"/>
  <c r="AH6" i="3"/>
  <c r="AH8" i="3" s="1"/>
  <c r="AT19" i="3"/>
  <c r="AT6" i="3"/>
  <c r="AL6" i="3"/>
  <c r="AL8" i="3" s="1"/>
  <c r="AS6" i="3"/>
  <c r="AS8" i="3" s="1"/>
  <c r="AS23" i="3" s="1"/>
  <c r="AS19" i="3"/>
  <c r="AO6" i="3"/>
  <c r="AO8" i="3" s="1"/>
  <c r="AO23" i="3" s="1"/>
  <c r="AO19" i="3"/>
  <c r="AK6" i="3"/>
  <c r="AK21" i="3" s="1"/>
  <c r="AK19" i="3"/>
  <c r="AJ6" i="3"/>
  <c r="AJ8" i="3" s="1"/>
  <c r="AJ20" i="3"/>
  <c r="AC4" i="3"/>
  <c r="F70" i="1"/>
  <c r="F71" i="1" s="1"/>
  <c r="L70" i="1"/>
  <c r="L71" i="1" s="1"/>
  <c r="B70" i="1"/>
  <c r="B71" i="1" s="1"/>
  <c r="U70" i="1"/>
  <c r="U71" i="1" s="1"/>
  <c r="E70" i="1"/>
  <c r="E71" i="1" s="1"/>
  <c r="G70" i="1"/>
  <c r="G71" i="1" s="1"/>
  <c r="C70" i="1"/>
  <c r="C71" i="1" s="1"/>
  <c r="M6" i="3"/>
  <c r="M8" i="3" s="1"/>
  <c r="M23" i="3" s="1"/>
  <c r="P6" i="3"/>
  <c r="P21" i="3" s="1"/>
  <c r="Q6" i="3"/>
  <c r="Q8" i="3" s="1"/>
  <c r="Q23" i="3" s="1"/>
  <c r="C6" i="3"/>
  <c r="C21" i="3" s="1"/>
  <c r="G6" i="3"/>
  <c r="G21" i="3" s="1"/>
  <c r="K6" i="3"/>
  <c r="K21" i="3" s="1"/>
  <c r="O6" i="3"/>
  <c r="O21" i="3" s="1"/>
  <c r="S6" i="3"/>
  <c r="S21" i="3" s="1"/>
  <c r="W6" i="3"/>
  <c r="W21" i="3" s="1"/>
  <c r="E6" i="3"/>
  <c r="U6" i="3"/>
  <c r="AR6" i="3"/>
  <c r="AR8" i="3" s="1"/>
  <c r="AN6" i="3"/>
  <c r="AN8" i="3" s="1"/>
  <c r="AB6" i="3"/>
  <c r="AB8" i="3" s="1"/>
  <c r="H6" i="3"/>
  <c r="X6" i="3"/>
  <c r="K19" i="3"/>
  <c r="AA19" i="3"/>
  <c r="AQ19" i="3"/>
  <c r="P20" i="3"/>
  <c r="AF20" i="3"/>
  <c r="C19" i="3"/>
  <c r="S19" i="3"/>
  <c r="AI19" i="3"/>
  <c r="D6" i="3"/>
  <c r="L6" i="3"/>
  <c r="T6" i="3"/>
  <c r="G19" i="3"/>
  <c r="O19" i="3"/>
  <c r="W19" i="3"/>
  <c r="AE19" i="3"/>
  <c r="AM19" i="3"/>
  <c r="F19" i="3"/>
  <c r="F6" i="3"/>
  <c r="J19" i="3"/>
  <c r="J6" i="3"/>
  <c r="N19" i="3"/>
  <c r="N6" i="3"/>
  <c r="R19" i="3"/>
  <c r="R6" i="3"/>
  <c r="V19" i="3"/>
  <c r="V6" i="3"/>
  <c r="Z19" i="3"/>
  <c r="Z6" i="3"/>
  <c r="AD19" i="3"/>
  <c r="AH19" i="3"/>
  <c r="AL19" i="3"/>
  <c r="AP19" i="3"/>
  <c r="Q70" i="1"/>
  <c r="Q71" i="1" s="1"/>
  <c r="M70" i="1"/>
  <c r="M71" i="1" s="1"/>
  <c r="R70" i="1"/>
  <c r="R71" i="1" s="1"/>
  <c r="N70" i="1"/>
  <c r="N71" i="1" s="1"/>
  <c r="S70" i="1"/>
  <c r="S71" i="1" s="1"/>
  <c r="O70" i="1"/>
  <c r="O71" i="1" s="1"/>
  <c r="J70" i="1"/>
  <c r="J71" i="1" s="1"/>
  <c r="K70" i="1"/>
  <c r="K71" i="1" s="1"/>
  <c r="H70" i="1"/>
  <c r="H71" i="1" s="1"/>
  <c r="Y21" i="3" l="1"/>
  <c r="M21" i="3"/>
  <c r="AQ21" i="3"/>
  <c r="AF21" i="3"/>
  <c r="AM21" i="3"/>
  <c r="AE21" i="3"/>
  <c r="AS21" i="3"/>
  <c r="O8" i="3"/>
  <c r="O23" i="3" s="1"/>
  <c r="AG21" i="3"/>
  <c r="P8" i="3"/>
  <c r="P23" i="3" s="1"/>
  <c r="W8" i="3"/>
  <c r="W23" i="3" s="1"/>
  <c r="K8" i="3"/>
  <c r="K23" i="3" s="1"/>
  <c r="G8" i="3"/>
  <c r="G23" i="3" s="1"/>
  <c r="AA8" i="3"/>
  <c r="AA23" i="3" s="1"/>
  <c r="I21" i="3"/>
  <c r="AI8" i="3"/>
  <c r="AI23" i="3" s="1"/>
  <c r="Q21" i="3"/>
  <c r="AK8" i="3"/>
  <c r="AK23" i="3" s="1"/>
  <c r="AO21" i="3"/>
  <c r="AC19" i="3"/>
  <c r="AC6" i="3"/>
  <c r="AT8" i="3"/>
  <c r="AT23" i="3" s="1"/>
  <c r="AT21" i="3"/>
  <c r="U8" i="3"/>
  <c r="U23" i="3" s="1"/>
  <c r="U21" i="3"/>
  <c r="S8" i="3"/>
  <c r="S23" i="3" s="1"/>
  <c r="E8" i="3"/>
  <c r="E23" i="3" s="1"/>
  <c r="E21" i="3"/>
  <c r="C8" i="3"/>
  <c r="C23" i="3" s="1"/>
  <c r="AJ21" i="3"/>
  <c r="AJ23" i="3"/>
  <c r="D21" i="3"/>
  <c r="D8" i="3"/>
  <c r="D23" i="3" s="1"/>
  <c r="AL21" i="3"/>
  <c r="AL23" i="3"/>
  <c r="AD21" i="3"/>
  <c r="AD23" i="3"/>
  <c r="V21" i="3"/>
  <c r="V8" i="3"/>
  <c r="V23" i="3" s="1"/>
  <c r="N21" i="3"/>
  <c r="N8" i="3"/>
  <c r="N23" i="3" s="1"/>
  <c r="F21" i="3"/>
  <c r="F8" i="3"/>
  <c r="F23" i="3" s="1"/>
  <c r="AB21" i="3"/>
  <c r="AB23" i="3"/>
  <c r="AN21" i="3"/>
  <c r="AN23" i="3"/>
  <c r="T21" i="3"/>
  <c r="T8" i="3"/>
  <c r="T23" i="3" s="1"/>
  <c r="X21" i="3"/>
  <c r="X8" i="3"/>
  <c r="X23" i="3" s="1"/>
  <c r="AP21" i="3"/>
  <c r="AP23" i="3"/>
  <c r="AH21" i="3"/>
  <c r="AH23" i="3"/>
  <c r="Z21" i="3"/>
  <c r="Z8" i="3"/>
  <c r="Z23" i="3" s="1"/>
  <c r="R21" i="3"/>
  <c r="R8" i="3"/>
  <c r="R23" i="3" s="1"/>
  <c r="J21" i="3"/>
  <c r="J8" i="3"/>
  <c r="J23" i="3" s="1"/>
  <c r="AR21" i="3"/>
  <c r="AR23" i="3"/>
  <c r="L21" i="3"/>
  <c r="L8" i="3"/>
  <c r="L23" i="3" s="1"/>
  <c r="H21" i="3"/>
  <c r="H8" i="3"/>
  <c r="H23" i="3" s="1"/>
  <c r="AC8" i="3" l="1"/>
  <c r="AC23" i="3" s="1"/>
  <c r="AC21" i="3"/>
</calcChain>
</file>

<file path=xl/sharedStrings.xml><?xml version="1.0" encoding="utf-8"?>
<sst xmlns="http://schemas.openxmlformats.org/spreadsheetml/2006/main" count="246" uniqueCount="50">
  <si>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</si>
  <si>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</si>
  <si>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</si>
  <si>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</si>
  <si>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</si>
  <si>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</si>
  <si>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</si>
  <si>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</si>
  <si>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</si>
  <si>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</si>
  <si>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</si>
  <si>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</si>
  <si>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</si>
  <si>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</si>
  <si>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</si>
  <si>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</si>
  <si>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</si>
  <si>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</si>
  <si>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</si>
  <si>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</si>
  <si>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</si>
  <si>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</si>
  <si>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</si>
  <si>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</si>
  <si>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 xml:space="preserve">October </t>
  </si>
  <si>
    <t xml:space="preserve">November </t>
  </si>
  <si>
    <t xml:space="preserve">January </t>
  </si>
  <si>
    <t xml:space="preserve">April </t>
  </si>
  <si>
    <t>Gross Revenue (less Freight)</t>
  </si>
  <si>
    <t>Discount (Excl. NRV Credit)</t>
  </si>
  <si>
    <t>Net Revenue</t>
  </si>
  <si>
    <t>Cost</t>
  </si>
  <si>
    <t>Profit (Excl. Freight &amp; NRV)</t>
  </si>
  <si>
    <t>PASTE VALUES</t>
  </si>
  <si>
    <t>Check for variances post close</t>
  </si>
  <si>
    <t>TRANSPOSE AND ADD NA</t>
  </si>
  <si>
    <t>BPC Plug Beginning Month Date</t>
  </si>
  <si>
    <t>BPC Plug Gross Revenue (less Freight)</t>
  </si>
  <si>
    <t>BPC Plug Discount</t>
  </si>
  <si>
    <t>BPC Plug Net Revenue</t>
  </si>
  <si>
    <t>BPC Plug Cost</t>
  </si>
  <si>
    <t>BPC Plug Profit</t>
  </si>
  <si>
    <t>PC Region</t>
  </si>
  <si>
    <t>NA</t>
  </si>
  <si>
    <t>EDIT TOP 200 ROWS into BPC_Plug_Financials Table in SQL</t>
  </si>
  <si>
    <t>Machine Gross Revenue</t>
  </si>
  <si>
    <t>Frieght</t>
  </si>
  <si>
    <t>Machine Discounts</t>
  </si>
  <si>
    <t>NRV Credit</t>
  </si>
  <si>
    <t>Machine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</si>
</sst>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right"/>
    </xf>
    <xf numFmtId="164" fontId="0" fillId="0" borderId="0" xfId="1" applyNumberFormat="1" applyFont="1"/>
    <xf numFmtId="0" fontId="3" fillId="0" borderId="0" xfId="2"/>
    <xf numFmtId="0" fontId="4" fillId="0" borderId="0" xfId="2" applyFont="1"/>
    <xf numFmtId="0" fontId="4" fillId="0" borderId="0" xfId="2" applyFont="1" applyAlignment="1">
      <alignment horizontal="right"/>
    </xf>
    <xf numFmtId="164" fontId="0" fillId="0" borderId="0" xfId="3" applyNumberFormat="1" applyFont="1"/>
    <xf numFmtId="164" fontId="3" fillId="0" borderId="0" xfId="2" applyNumberFormat="1"/>
    <xf numFmtId="0" fontId="5" fillId="0" borderId="0" xfId="2" applyFont="1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22" fontId="6" fillId="0" borderId="0" xfId="0" applyNumberFormat="1" applyFont="1" applyAlignment="1">
      <alignment vertical="center" wrapText="1"/>
    </xf>
    <xf numFmtId="164" fontId="7" fillId="0" borderId="0" xfId="1" applyNumberFormat="1" applyFont="1"/>
    <xf numFmtId="0" fontId="7" fillId="0" borderId="0" xfId="2" applyFont="1"/>
    <xf numFmtId="0" fontId="3" fillId="0" borderId="0" xfId="2" applyAlignment="1">
      <alignment horizontal="center" vertical="center"/>
    </xf>
    <xf numFmtId="1" fontId="3" fillId="0" borderId="0" xfId="2" applyNumberFormat="1"/>
    <xf numFmtId="164" fontId="0" fillId="0" borderId="0" xfId="0" applyNumberFormat="1"/>
    <xf numFmtId="0" fontId="3" fillId="0" borderId="0" xfId="2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0</xdr:row>
          <xdr:rowOff>0</xdr:rowOff>
        </xdr:to>
        <xdr:sp macro="" textlink="">
          <xdr:nvSpPr>
            <xdr:cNvPr id="3073" name="FPMExcelClientSheetOptionstb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1333500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1333500</xdr:colOff>
          <xdr:row>0</xdr:row>
          <xdr:rowOff>0</xdr:rowOff>
        </xdr:to>
        <xdr:sp macro="" textlink="">
          <xdr:nvSpPr>
            <xdr:cNvPr id="1026" name="ConnectionDescriptorsInfotb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1333500</xdr:colOff>
          <xdr:row>0</xdr:row>
          <xdr:rowOff>0</xdr:rowOff>
        </xdr:to>
        <xdr:sp macro="" textlink="">
          <xdr:nvSpPr>
            <xdr:cNvPr id="1027" name="MultipleReportManagerInfotb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1333500</xdr:colOff>
          <xdr:row>0</xdr:row>
          <xdr:rowOff>0</xdr:rowOff>
        </xdr:to>
        <xdr:sp macro="" textlink="">
          <xdr:nvSpPr>
            <xdr:cNvPr id="1028" name="AnalyzerDynReport000tb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U$\FORECAST\2020\Product%20Sales\GBDatabase%20Linked%20Files\GB%20DB%20Mgmt\2020%20Revenue%20+%20Cost\Revenue\BPC%20Adhoc%20Machine%20Revenue%20CY20%20July%20Actuals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hine Revenue Summary"/>
      <sheetName val="For Garrett"/>
      <sheetName val="Ad Hoc BPC Data"/>
      <sheetName val="Ad Hoc BPC Data Linked"/>
    </sheetNames>
    <sheetDataSet>
      <sheetData sheetId="0"/>
      <sheetData sheetId="1"/>
      <sheetData sheetId="2"/>
      <sheetData sheetId="3">
        <row r="40">
          <cell r="D40">
            <v>5676622.3499999996</v>
          </cell>
          <cell r="E40">
            <v>11789194.539999999</v>
          </cell>
          <cell r="F40">
            <v>51980266.019999996</v>
          </cell>
          <cell r="G40">
            <v>7298743.2199999997</v>
          </cell>
          <cell r="H40">
            <v>37143605.909999996</v>
          </cell>
          <cell r="I40">
            <v>56309809.730000004</v>
          </cell>
          <cell r="J40">
            <v>10513426.299999999</v>
          </cell>
          <cell r="K40">
            <v>13612303.26</v>
          </cell>
          <cell r="L40">
            <v>41185606.920000002</v>
          </cell>
          <cell r="M40">
            <v>9079572.8000000007</v>
          </cell>
          <cell r="N40">
            <v>22318596.460000001</v>
          </cell>
          <cell r="O40">
            <v>75433100.270000011</v>
          </cell>
          <cell r="P40">
            <v>8364445.2599999998</v>
          </cell>
          <cell r="Q40">
            <v>21320936.490000002</v>
          </cell>
          <cell r="R40">
            <v>45179753.770000003</v>
          </cell>
          <cell r="S40">
            <v>9911853.0600000005</v>
          </cell>
          <cell r="T40">
            <v>21474255</v>
          </cell>
          <cell r="U40">
            <v>56084541.290000007</v>
          </cell>
          <cell r="V40">
            <v>11561194.01</v>
          </cell>
          <cell r="W40">
            <v>15987898.93</v>
          </cell>
          <cell r="X40">
            <v>47311072.049999997</v>
          </cell>
          <cell r="Y40">
            <v>22571069.879999999</v>
          </cell>
          <cell r="Z40">
            <v>24004706.379999999</v>
          </cell>
          <cell r="AA40">
            <v>93737468.530000001</v>
          </cell>
        </row>
        <row r="42">
          <cell r="D42">
            <v>-1773623.2299999997</v>
          </cell>
          <cell r="E42">
            <v>-2856430.6399999997</v>
          </cell>
          <cell r="F42">
            <v>-14591669.550000001</v>
          </cell>
          <cell r="G42">
            <v>-1566789.1999999997</v>
          </cell>
          <cell r="H42">
            <v>-11233139.389999999</v>
          </cell>
          <cell r="I42">
            <v>-15785339.970000001</v>
          </cell>
          <cell r="J42">
            <v>-2418393.6799999997</v>
          </cell>
          <cell r="K42">
            <v>-4193558.2300000004</v>
          </cell>
          <cell r="L42">
            <v>-13041038.300000001</v>
          </cell>
          <cell r="M42">
            <v>-4510786.5</v>
          </cell>
          <cell r="N42">
            <v>-5866465.9299999997</v>
          </cell>
          <cell r="O42">
            <v>-25020786.639999997</v>
          </cell>
          <cell r="P42">
            <v>-2855374.19</v>
          </cell>
          <cell r="Q42">
            <v>-9613566.8000000026</v>
          </cell>
          <cell r="R42">
            <v>-13104112.579999998</v>
          </cell>
          <cell r="S42">
            <v>-3645406.85</v>
          </cell>
          <cell r="T42">
            <v>-4860663.3</v>
          </cell>
          <cell r="U42">
            <v>-17475256.189999998</v>
          </cell>
          <cell r="V42">
            <v>-2980399.2199999997</v>
          </cell>
          <cell r="W42">
            <v>-5124560.4799999995</v>
          </cell>
          <cell r="X42">
            <v>-13392255.949999999</v>
          </cell>
          <cell r="Y42">
            <v>-7549982.0500000007</v>
          </cell>
          <cell r="Z42">
            <v>-6990819.0100000007</v>
          </cell>
          <cell r="AA42">
            <v>-31280529.890000004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.xml"/><Relationship Id="rId3" Type="http://schemas.openxmlformats.org/officeDocument/2006/relationships/customProperty" Target="../customProperty2.bin"/><Relationship Id="rId7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4.bin"/><Relationship Id="rId4" Type="http://schemas.openxmlformats.org/officeDocument/2006/relationships/customProperty" Target="../customProperty3.bin"/><Relationship Id="rId9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5.xml"/><Relationship Id="rId8" Type="http://schemas.openxmlformats.org/officeDocument/2006/relationships/image" Target="../media/image2.emf"/><Relationship Id="rId3" Type="http://schemas.openxmlformats.org/officeDocument/2006/relationships/customProperty" Target="../customProperty6.bin"/><Relationship Id="rId12" Type="http://schemas.openxmlformats.org/officeDocument/2006/relationships/image" Target="../media/image4.emf"/><Relationship Id="rId7" Type="http://schemas.openxmlformats.org/officeDocument/2006/relationships/control" Target="../activeX/activeX2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2.vml"/><Relationship Id="rId11" Type="http://schemas.openxmlformats.org/officeDocument/2006/relationships/control" Target="../activeX/activeX4.xml"/><Relationship Id="rId5" Type="http://schemas.openxmlformats.org/officeDocument/2006/relationships/drawing" Target="../drawings/drawing2.xml"/><Relationship Id="rId10" Type="http://schemas.openxmlformats.org/officeDocument/2006/relationships/image" Target="../media/image3.emf"/><Relationship Id="rId4" Type="http://schemas.openxmlformats.org/officeDocument/2006/relationships/customProperty" Target="../customProperty7.bin"/><Relationship Id="rId14" Type="http://schemas.openxmlformats.org/officeDocument/2006/relationships/image" Target="../media/image5.emf"/><Relationship Id="rId9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2:DF134"/>
  <sheetViews>
    <sheetView tabSelected="1" topLeftCell="B1" zoomScale="80" zoomScaleNormal="80" workbookViewId="0">
      <pane xSplit="1" topLeftCell="C108" activePane="topRight" state="frozen"/>
      <selection pane="topRight" activeCell="B43" sqref="B43"/>
      <selection activeCell="B87" sqref="B87"/>
    </sheetView>
  </sheetViews>
  <sheetFormatPr defaultColWidth="9.140625" defaultRowHeight="14.25" outlineLevelRow="1"/>
  <cols>
    <col min="1" max="1" width="0" style="5" hidden="1" customWidth="1"/>
    <col min="2" max="2" width="33.140625" style="5" bestFit="1" customWidth="1"/>
    <col min="3" max="3" width="14.42578125" style="5" customWidth="1"/>
    <col min="4" max="5" width="15.5703125" style="5" customWidth="1"/>
    <col min="6" max="6" width="14.42578125" style="5" customWidth="1"/>
    <col min="7" max="10" width="15.5703125" style="5" customWidth="1"/>
    <col min="11" max="13" width="13.5703125" style="5" customWidth="1"/>
    <col min="14" max="14" width="13.5703125" style="5" hidden="1" customWidth="1"/>
    <col min="15" max="15" width="12" style="5" hidden="1" customWidth="1" collapsed="1"/>
    <col min="16" max="16" width="12.42578125" style="5" hidden="1" customWidth="1"/>
    <col min="17" max="17" width="13" style="5" hidden="1" customWidth="1"/>
    <col min="18" max="18" width="11.42578125" style="5" hidden="1" customWidth="1"/>
    <col min="19" max="30" width="12.42578125" style="5" hidden="1" customWidth="1"/>
    <col min="31" max="32" width="15.140625" style="5" hidden="1" customWidth="1"/>
    <col min="33" max="35" width="12.42578125" style="5" hidden="1" customWidth="1"/>
    <col min="36" max="36" width="15.140625" style="5" hidden="1" customWidth="1"/>
    <col min="37" max="37" width="12.42578125" style="5" hidden="1" customWidth="1"/>
    <col min="38" max="38" width="13.42578125" style="5" hidden="1" customWidth="1"/>
    <col min="39" max="41" width="12.42578125" style="5" hidden="1" customWidth="1"/>
    <col min="42" max="42" width="11.42578125" style="5" hidden="1" customWidth="1"/>
    <col min="43" max="44" width="12.42578125" style="5" hidden="1" customWidth="1"/>
    <col min="45" max="45" width="10.42578125" style="5" hidden="1" customWidth="1"/>
    <col min="46" max="48" width="15.140625" style="5" hidden="1" customWidth="1"/>
    <col min="49" max="49" width="13.5703125" style="5" hidden="1" customWidth="1"/>
    <col min="50" max="50" width="15.140625" style="5" hidden="1" customWidth="1"/>
    <col min="51" max="52" width="12.42578125" style="5" hidden="1" customWidth="1"/>
    <col min="53" max="53" width="15.140625" style="5" hidden="1" customWidth="1"/>
    <col min="54" max="58" width="12.42578125" style="5" hidden="1" customWidth="1"/>
    <col min="59" max="59" width="12.140625" style="5" hidden="1" customWidth="1"/>
    <col min="60" max="70" width="12.42578125" style="5" hidden="1" customWidth="1"/>
    <col min="71" max="71" width="12.140625" style="5" hidden="1" customWidth="1"/>
    <col min="72" max="74" width="12.42578125" style="5" hidden="1" customWidth="1"/>
    <col min="75" max="75" width="15.140625" style="5" bestFit="1" customWidth="1"/>
    <col min="76" max="79" width="12.42578125" style="5" bestFit="1" customWidth="1"/>
    <col min="80" max="81" width="15.140625" style="5" bestFit="1" customWidth="1"/>
    <col min="82" max="82" width="15.85546875" style="5" bestFit="1" customWidth="1"/>
    <col min="83" max="83" width="12.140625" style="5" bestFit="1" customWidth="1"/>
    <col min="84" max="84" width="17" style="5" bestFit="1" customWidth="1"/>
    <col min="85" max="86" width="12.42578125" style="5" bestFit="1" customWidth="1"/>
    <col min="87" max="88" width="11.140625" style="5" bestFit="1" customWidth="1"/>
    <col min="89" max="89" width="14" style="5" bestFit="1" customWidth="1"/>
    <col min="90" max="90" width="12.5703125" style="5" bestFit="1" customWidth="1"/>
    <col min="91" max="91" width="15.140625" style="5" bestFit="1" customWidth="1"/>
    <col min="92" max="92" width="15.85546875" style="5" bestFit="1" customWidth="1"/>
    <col min="93" max="93" width="13.5703125" style="5" bestFit="1" customWidth="1"/>
    <col min="94" max="94" width="15.140625" style="5" bestFit="1" customWidth="1"/>
    <col min="95" max="96" width="12.28515625" style="5" bestFit="1" customWidth="1"/>
    <col min="97" max="97" width="13.5703125" style="5" bestFit="1" customWidth="1"/>
    <col min="98" max="98" width="12.85546875" style="5" bestFit="1" customWidth="1"/>
    <col min="99" max="99" width="13.28515625" style="5" customWidth="1"/>
    <col min="100" max="105" width="12.28515625" style="5" bestFit="1" customWidth="1"/>
    <col min="106" max="106" width="15.140625" style="5" bestFit="1" customWidth="1"/>
    <col min="107" max="107" width="12.140625" style="5" bestFit="1" customWidth="1"/>
    <col min="108" max="108" width="15.140625" style="5" bestFit="1" customWidth="1"/>
    <col min="109" max="109" width="12.28515625" style="5" bestFit="1" customWidth="1"/>
    <col min="110" max="110" width="13.42578125" style="5" bestFit="1" customWidth="1"/>
    <col min="111" max="16384" width="9.140625" style="5"/>
  </cols>
  <sheetData>
    <row r="2" spans="2:110"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AA2" s="5">
        <v>2019</v>
      </c>
      <c r="AM2" s="5">
        <v>2020</v>
      </c>
      <c r="AY2" s="5">
        <v>2021</v>
      </c>
      <c r="BK2" s="5">
        <v>2022</v>
      </c>
      <c r="BW2" s="5">
        <v>2023</v>
      </c>
      <c r="CI2" s="5">
        <v>2024</v>
      </c>
      <c r="CU2" s="5">
        <v>2025</v>
      </c>
    </row>
    <row r="3" spans="2:110" ht="15"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0</v>
      </c>
      <c r="P3" s="6" t="s">
        <v>1</v>
      </c>
      <c r="Q3" s="6" t="s">
        <v>2</v>
      </c>
      <c r="R3" s="6" t="s">
        <v>3</v>
      </c>
      <c r="S3" s="6" t="s">
        <v>4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Y3" s="6" t="s">
        <v>10</v>
      </c>
      <c r="Z3" s="6" t="s">
        <v>11</v>
      </c>
      <c r="AA3" s="6" t="s">
        <v>0</v>
      </c>
      <c r="AB3" s="6" t="s">
        <v>1</v>
      </c>
      <c r="AC3" s="6" t="s">
        <v>2</v>
      </c>
      <c r="AD3" s="6" t="s">
        <v>3</v>
      </c>
      <c r="AE3" s="6" t="s">
        <v>4</v>
      </c>
      <c r="AF3" s="6" t="s">
        <v>5</v>
      </c>
      <c r="AG3" s="6" t="s">
        <v>6</v>
      </c>
      <c r="AH3" s="6" t="s">
        <v>7</v>
      </c>
      <c r="AI3" s="6" t="s">
        <v>8</v>
      </c>
      <c r="AJ3" s="6" t="s">
        <v>9</v>
      </c>
      <c r="AK3" s="6" t="s">
        <v>10</v>
      </c>
      <c r="AL3" s="6" t="s">
        <v>11</v>
      </c>
      <c r="AM3" s="6" t="s">
        <v>0</v>
      </c>
      <c r="AN3" s="6" t="s">
        <v>1</v>
      </c>
      <c r="AO3" s="5" t="s">
        <v>2</v>
      </c>
      <c r="AP3" s="5" t="s">
        <v>3</v>
      </c>
      <c r="AQ3" s="5" t="s">
        <v>4</v>
      </c>
      <c r="AR3" s="5" t="s">
        <v>12</v>
      </c>
      <c r="AS3" s="5" t="s">
        <v>13</v>
      </c>
      <c r="AT3" s="5" t="s">
        <v>14</v>
      </c>
      <c r="AU3" s="5" t="s">
        <v>15</v>
      </c>
      <c r="AV3" s="5" t="s">
        <v>16</v>
      </c>
      <c r="AW3" s="5" t="s">
        <v>17</v>
      </c>
      <c r="AX3" s="5" t="s">
        <v>18</v>
      </c>
      <c r="AY3" s="5" t="s">
        <v>19</v>
      </c>
      <c r="AZ3" s="5" t="s">
        <v>20</v>
      </c>
      <c r="BA3" s="5" t="s">
        <v>21</v>
      </c>
      <c r="BB3" s="5" t="s">
        <v>22</v>
      </c>
      <c r="BC3" s="5" t="s">
        <v>23</v>
      </c>
      <c r="BD3" s="5" t="s">
        <v>12</v>
      </c>
      <c r="BE3" s="5" t="s">
        <v>13</v>
      </c>
      <c r="BF3" s="5" t="s">
        <v>14</v>
      </c>
      <c r="BG3" s="5" t="s">
        <v>15</v>
      </c>
      <c r="BH3" s="5" t="s">
        <v>24</v>
      </c>
      <c r="BI3" s="5" t="s">
        <v>25</v>
      </c>
      <c r="BJ3" s="5" t="s">
        <v>18</v>
      </c>
      <c r="BK3" s="5" t="s">
        <v>26</v>
      </c>
      <c r="BL3" s="5" t="s">
        <v>20</v>
      </c>
      <c r="BM3" s="5" t="s">
        <v>21</v>
      </c>
      <c r="BN3" s="5" t="s">
        <v>27</v>
      </c>
      <c r="BO3" s="5" t="s">
        <v>23</v>
      </c>
      <c r="BP3" s="5" t="s">
        <v>12</v>
      </c>
      <c r="BQ3" s="5" t="s">
        <v>13</v>
      </c>
      <c r="BR3" s="5" t="s">
        <v>14</v>
      </c>
      <c r="BS3" s="5" t="s">
        <v>15</v>
      </c>
      <c r="BT3" s="17" t="s">
        <v>16</v>
      </c>
      <c r="BU3" s="5" t="s">
        <v>17</v>
      </c>
      <c r="BV3" s="5" t="s">
        <v>18</v>
      </c>
      <c r="BW3" s="5" t="s">
        <v>19</v>
      </c>
      <c r="BX3" s="5" t="s">
        <v>20</v>
      </c>
      <c r="BY3" s="5" t="s">
        <v>21</v>
      </c>
      <c r="BZ3" s="5" t="s">
        <v>22</v>
      </c>
      <c r="CA3" s="5" t="s">
        <v>4</v>
      </c>
      <c r="CB3" s="5" t="s">
        <v>12</v>
      </c>
      <c r="CC3" s="5" t="s">
        <v>13</v>
      </c>
      <c r="CD3" s="5" t="s">
        <v>14</v>
      </c>
      <c r="CE3" s="5" t="s">
        <v>15</v>
      </c>
      <c r="CF3" s="5" t="s">
        <v>16</v>
      </c>
      <c r="CG3" s="5" t="s">
        <v>17</v>
      </c>
      <c r="CH3" s="5" t="s">
        <v>18</v>
      </c>
      <c r="CI3" s="5" t="s">
        <v>19</v>
      </c>
      <c r="CJ3" s="5" t="s">
        <v>20</v>
      </c>
      <c r="CK3" s="5" t="s">
        <v>21</v>
      </c>
      <c r="CL3" s="5" t="s">
        <v>22</v>
      </c>
      <c r="CM3" s="5" t="s">
        <v>4</v>
      </c>
      <c r="CN3" s="5" t="s">
        <v>12</v>
      </c>
      <c r="CO3" s="5" t="s">
        <v>13</v>
      </c>
      <c r="CP3" s="5" t="s">
        <v>14</v>
      </c>
      <c r="CQ3" s="5" t="s">
        <v>15</v>
      </c>
      <c r="CR3" s="5" t="s">
        <v>16</v>
      </c>
      <c r="CS3" s="5" t="s">
        <v>17</v>
      </c>
      <c r="CT3" s="5" t="s">
        <v>18</v>
      </c>
      <c r="CU3" s="5" t="s">
        <v>19</v>
      </c>
      <c r="CV3" s="5" t="s">
        <v>20</v>
      </c>
      <c r="CW3" s="5" t="s">
        <v>21</v>
      </c>
      <c r="CX3" s="5" t="s">
        <v>22</v>
      </c>
      <c r="CY3" s="5" t="s">
        <v>4</v>
      </c>
      <c r="CZ3" s="5" t="s">
        <v>12</v>
      </c>
      <c r="DA3" s="5" t="s">
        <v>13</v>
      </c>
      <c r="DB3" s="5" t="s">
        <v>14</v>
      </c>
      <c r="DC3" s="5" t="s">
        <v>15</v>
      </c>
      <c r="DD3" s="5" t="s">
        <v>16</v>
      </c>
      <c r="DE3" s="5" t="s">
        <v>25</v>
      </c>
      <c r="DF3" s="5" t="s">
        <v>18</v>
      </c>
    </row>
    <row r="4" spans="2:110" ht="15">
      <c r="B4" s="7" t="s">
        <v>28</v>
      </c>
      <c r="C4" s="8">
        <f>'[1]Ad Hoc BPC Data Linked'!D40</f>
        <v>5676622.3499999996</v>
      </c>
      <c r="D4" s="8">
        <f>'[1]Ad Hoc BPC Data Linked'!E40</f>
        <v>11789194.539999999</v>
      </c>
      <c r="E4" s="8">
        <f>'[1]Ad Hoc BPC Data Linked'!F40</f>
        <v>51980266.019999996</v>
      </c>
      <c r="F4" s="8">
        <f>'[1]Ad Hoc BPC Data Linked'!G40</f>
        <v>7298743.2199999997</v>
      </c>
      <c r="G4" s="8">
        <f>'[1]Ad Hoc BPC Data Linked'!H40</f>
        <v>37143605.909999996</v>
      </c>
      <c r="H4" s="8">
        <f>'[1]Ad Hoc BPC Data Linked'!I40</f>
        <v>56309809.730000004</v>
      </c>
      <c r="I4" s="8">
        <f>'[1]Ad Hoc BPC Data Linked'!J40</f>
        <v>10513426.299999999</v>
      </c>
      <c r="J4" s="8">
        <f>'[1]Ad Hoc BPC Data Linked'!K40</f>
        <v>13612303.26</v>
      </c>
      <c r="K4" s="8">
        <f>'[1]Ad Hoc BPC Data Linked'!L40</f>
        <v>41185606.920000002</v>
      </c>
      <c r="L4" s="8">
        <f>'[1]Ad Hoc BPC Data Linked'!M40</f>
        <v>9079572.8000000007</v>
      </c>
      <c r="M4" s="8">
        <f>'[1]Ad Hoc BPC Data Linked'!N40</f>
        <v>22318596.460000001</v>
      </c>
      <c r="N4" s="8">
        <f>'[1]Ad Hoc BPC Data Linked'!O40</f>
        <v>75433100.270000011</v>
      </c>
      <c r="O4" s="8">
        <f>'[1]Ad Hoc BPC Data Linked'!P40</f>
        <v>8364445.2599999998</v>
      </c>
      <c r="P4" s="8">
        <f>'[1]Ad Hoc BPC Data Linked'!Q40</f>
        <v>21320936.490000002</v>
      </c>
      <c r="Q4" s="8">
        <f>'[1]Ad Hoc BPC Data Linked'!R40</f>
        <v>45179753.770000003</v>
      </c>
      <c r="R4" s="8">
        <f>'[1]Ad Hoc BPC Data Linked'!S40</f>
        <v>9911853.0600000005</v>
      </c>
      <c r="S4" s="8">
        <f>'[1]Ad Hoc BPC Data Linked'!T40</f>
        <v>21474255</v>
      </c>
      <c r="T4" s="8">
        <f>'[1]Ad Hoc BPC Data Linked'!U40</f>
        <v>56084541.290000007</v>
      </c>
      <c r="U4" s="8">
        <f>'[1]Ad Hoc BPC Data Linked'!V40</f>
        <v>11561194.01</v>
      </c>
      <c r="V4" s="8">
        <f>'[1]Ad Hoc BPC Data Linked'!W40</f>
        <v>15987898.93</v>
      </c>
      <c r="W4" s="8">
        <f>'[1]Ad Hoc BPC Data Linked'!X40</f>
        <v>47311072.049999997</v>
      </c>
      <c r="X4" s="8">
        <f>'[1]Ad Hoc BPC Data Linked'!Y40</f>
        <v>22571069.879999999</v>
      </c>
      <c r="Y4" s="8">
        <f>'[1]Ad Hoc BPC Data Linked'!Z40</f>
        <v>24004706.379999999</v>
      </c>
      <c r="Z4" s="8">
        <f>'[1]Ad Hoc BPC Data Linked'!AA40</f>
        <v>93737468.530000001</v>
      </c>
      <c r="AA4" s="8">
        <f>'Ad Hoc BPC Data Linked'!B66</f>
        <v>10048753.4</v>
      </c>
      <c r="AB4" s="8">
        <f>'Ad Hoc BPC Data Linked'!C66</f>
        <v>11328310.810000001</v>
      </c>
      <c r="AC4" s="8">
        <f>'Ad Hoc BPC Data Linked'!D66</f>
        <v>68344611.700000003</v>
      </c>
      <c r="AD4" s="8">
        <f>'Ad Hoc BPC Data Linked'!E66</f>
        <v>11827002.890000001</v>
      </c>
      <c r="AE4" s="8">
        <f>'Ad Hoc BPC Data Linked'!F66</f>
        <v>25211087.129999999</v>
      </c>
      <c r="AF4" s="8">
        <f>'Ad Hoc BPC Data Linked'!G66</f>
        <v>64404446.960000001</v>
      </c>
      <c r="AG4" s="8">
        <f>'Ad Hoc BPC Data Linked'!H66</f>
        <v>14117807.369999999</v>
      </c>
      <c r="AH4" s="8">
        <f>'Ad Hoc BPC Data Linked'!I66</f>
        <v>24305344.449999999</v>
      </c>
      <c r="AI4" s="8">
        <f>'Ad Hoc BPC Data Linked'!J66</f>
        <v>64195085.539999999</v>
      </c>
      <c r="AJ4" s="8">
        <f>'Ad Hoc BPC Data Linked'!K66</f>
        <v>8298532.9499999993</v>
      </c>
      <c r="AK4" s="8">
        <f>'Ad Hoc BPC Data Linked'!L66</f>
        <v>31276710.939999998</v>
      </c>
      <c r="AL4" s="8">
        <f>'Ad Hoc BPC Data Linked'!M66</f>
        <v>126693908.32000001</v>
      </c>
      <c r="AM4" s="8">
        <f>'Ad Hoc BPC Data Linked'!N66</f>
        <v>8596085.6100000013</v>
      </c>
      <c r="AN4" s="8">
        <f>'Ad Hoc BPC Data Linked'!O66</f>
        <v>11252087.460000001</v>
      </c>
      <c r="AO4" s="8">
        <f>'Ad Hoc BPC Data Linked'!P66</f>
        <v>22438481.349999998</v>
      </c>
      <c r="AP4" s="8">
        <f>'Ad Hoc BPC Data Linked'!Q66</f>
        <v>1367165</v>
      </c>
      <c r="AQ4" s="8">
        <f>'Ad Hoc BPC Data Linked'!R66</f>
        <v>10407752.199999999</v>
      </c>
      <c r="AR4" s="8">
        <f>'Ad Hoc BPC Data Linked'!S66</f>
        <v>45430618.799999997</v>
      </c>
      <c r="AS4" s="8">
        <f>'Ad Hoc BPC Data Linked'!T66</f>
        <v>6508584.7999999998</v>
      </c>
      <c r="AT4" s="8">
        <f>'Ad Hoc BPC Data Linked'!U66</f>
        <v>13146440.880000001</v>
      </c>
      <c r="AU4" s="8">
        <f>'Ad Hoc BPC Data Linked'!V66</f>
        <v>32252240.41</v>
      </c>
      <c r="AV4" s="8">
        <f>'Ad Hoc BPC Data Linked'!W66</f>
        <v>11936088.68</v>
      </c>
      <c r="AW4" s="8">
        <f>'Ad Hoc BPC Data Linked'!X66</f>
        <v>10369035</v>
      </c>
      <c r="AX4" s="8">
        <f>'Ad Hoc BPC Data Linked'!Y66</f>
        <v>43185998.799999997</v>
      </c>
      <c r="AY4" s="8">
        <f>'Ad Hoc BPC Data Linked'!Z66</f>
        <v>10801777.060000001</v>
      </c>
      <c r="AZ4" s="8">
        <f>'Ad Hoc BPC Data Linked'!AA66</f>
        <v>14552203</v>
      </c>
      <c r="BA4" s="8">
        <f>'Ad Hoc BPC Data Linked'!AB66</f>
        <v>28187530.649999999</v>
      </c>
      <c r="BB4" s="8">
        <f>'Ad Hoc BPC Data Linked'!AC66</f>
        <v>14923400.66</v>
      </c>
      <c r="BC4" s="8">
        <f>'Ad Hoc BPC Data Linked'!AD66</f>
        <v>21342926.359999999</v>
      </c>
      <c r="BD4" s="8">
        <f>'Ad Hoc BPC Data Linked'!AE66</f>
        <v>42803839.960000001</v>
      </c>
      <c r="BE4" s="8">
        <f>'Ad Hoc BPC Data Linked'!AF66</f>
        <v>20828703.490000002</v>
      </c>
      <c r="BF4" s="8">
        <f>'Ad Hoc BPC Data Linked'!AG66</f>
        <v>19216483.140000001</v>
      </c>
      <c r="BG4" s="8">
        <f>'Ad Hoc BPC Data Linked'!AH66</f>
        <v>35952525.699999996</v>
      </c>
      <c r="BH4" s="8">
        <f>'Ad Hoc BPC Data Linked'!AI66</f>
        <v>11024401</v>
      </c>
      <c r="BI4" s="8">
        <f>'Ad Hoc BPC Data Linked'!AJ66</f>
        <v>23297452.739999998</v>
      </c>
      <c r="BJ4" s="8">
        <f>'Ad Hoc BPC Data Linked'!AK66</f>
        <v>71069428.700000003</v>
      </c>
      <c r="BK4" s="8">
        <f>'Ad Hoc BPC Data Linked'!AL66</f>
        <v>25711551.460000001</v>
      </c>
      <c r="BL4" s="8">
        <f>'Ad Hoc BPC Data Linked'!AM66</f>
        <v>23526569.100000001</v>
      </c>
      <c r="BM4" s="8">
        <f>'Ad Hoc BPC Data Linked'!AN66</f>
        <v>56009431.979999997</v>
      </c>
      <c r="BN4" s="8">
        <f>'Ad Hoc BPC Data Linked'!AO66</f>
        <v>15742284.310000001</v>
      </c>
      <c r="BO4" s="8">
        <f>'Ad Hoc BPC Data Linked'!AP66</f>
        <v>20111566.199999999</v>
      </c>
      <c r="BP4" s="8">
        <f>'Ad Hoc BPC Data Linked'!AQ66</f>
        <v>66484678.690000005</v>
      </c>
      <c r="BQ4" s="8">
        <f>'Ad Hoc BPC Data Linked'!AR66</f>
        <v>15229717.459999999</v>
      </c>
      <c r="BR4" s="8">
        <f>'Ad Hoc BPC Data Linked'!AS66</f>
        <v>35254581.799999997</v>
      </c>
      <c r="BS4" s="8">
        <f>'Ad Hoc BPC Data Linked'!AT66</f>
        <v>81935413</v>
      </c>
      <c r="BT4" s="8">
        <f>'Ad Hoc BPC Data Linked'!AU66</f>
        <v>20900449.93</v>
      </c>
      <c r="BU4" s="8">
        <f>'Ad Hoc BPC Data Linked'!AV66</f>
        <v>43845537.270000003</v>
      </c>
      <c r="BV4" s="8">
        <f>'Ad Hoc BPC Data Linked'!AW66</f>
        <v>83947656.370000005</v>
      </c>
      <c r="BW4" s="8">
        <f>'Ad Hoc BPC Data Linked'!AX66</f>
        <v>23847072.780000001</v>
      </c>
      <c r="BX4" s="8">
        <f>'Ad Hoc BPC Data Linked'!AY66</f>
        <v>35326768.409999996</v>
      </c>
      <c r="BY4" s="8">
        <f>'Ad Hoc BPC Data Linked'!AZ66</f>
        <v>81128520.940000013</v>
      </c>
      <c r="BZ4" s="8">
        <f>'Ad Hoc BPC Data Linked'!BA66</f>
        <v>29904052.690000001</v>
      </c>
      <c r="CA4" s="8">
        <f>'Ad Hoc BPC Data Linked'!BB66</f>
        <v>50811050.770000003</v>
      </c>
      <c r="CB4" s="8">
        <f>'Ad Hoc BPC Data Linked'!BC66</f>
        <v>60928226.899999999</v>
      </c>
      <c r="CC4" s="8">
        <f>'Ad Hoc BPC Data Linked'!BD66</f>
        <v>25758904.879999999</v>
      </c>
      <c r="CD4" s="8">
        <f>'Ad Hoc BPC Data Linked'!BE66</f>
        <v>49592978.969999999</v>
      </c>
      <c r="CE4" s="8">
        <f>'Ad Hoc BPC Data Linked'!BF66</f>
        <v>59732475.120000005</v>
      </c>
      <c r="CF4" s="8">
        <f>'Ad Hoc BPC Data Linked'!BG66</f>
        <v>30247370.629999999</v>
      </c>
      <c r="CG4" s="8">
        <f>'Ad Hoc BPC Data Linked'!BH66</f>
        <v>43248262.779999994</v>
      </c>
      <c r="CH4" s="8">
        <f>'Ad Hoc BPC Data Linked'!BI66</f>
        <v>68726650.030000001</v>
      </c>
      <c r="CI4" s="8">
        <f>'Ad Hoc BPC Data Linked'!BJ66</f>
        <v>16507839.529999999</v>
      </c>
      <c r="CJ4" s="8">
        <f>'Ad Hoc BPC Data Linked'!BK66</f>
        <v>28887225.809999999</v>
      </c>
      <c r="CK4" s="8">
        <f>'Ad Hoc BPC Data Linked'!BL66</f>
        <v>69296917.159999996</v>
      </c>
      <c r="CL4" s="8">
        <f>'Ad Hoc BPC Data Linked'!BM66</f>
        <v>19630060.760000002</v>
      </c>
      <c r="CM4" s="8">
        <f>'Ad Hoc BPC Data Linked'!BN66</f>
        <v>25424096.18</v>
      </c>
      <c r="CN4" s="8">
        <f>'Ad Hoc BPC Data Linked'!BO66</f>
        <v>72487666.5</v>
      </c>
      <c r="CO4" s="8">
        <f>'Ad Hoc BPC Data Linked'!BP66</f>
        <v>17828404.370000001</v>
      </c>
      <c r="CP4" s="8">
        <f>'Ad Hoc BPC Data Linked'!BQ66</f>
        <v>33203365.469999999</v>
      </c>
      <c r="CQ4" s="8">
        <f>'Ad Hoc BPC Data Linked'!BR66</f>
        <v>68146868.069999993</v>
      </c>
      <c r="CR4" s="8">
        <f>'Ad Hoc BPC Data Linked'!BS66</f>
        <v>24321512.41</v>
      </c>
      <c r="CS4" s="8">
        <f>'Ad Hoc BPC Data Linked'!BT66</f>
        <v>35349291.630000003</v>
      </c>
      <c r="CT4" s="8">
        <f>'Ad Hoc BPC Data Linked'!BU66</f>
        <v>121514611.42999999</v>
      </c>
      <c r="CU4" s="8">
        <f>'Ad Hoc BPC Data Linked'!BV66</f>
        <v>13883295.869999999</v>
      </c>
      <c r="CV4" s="8">
        <f>'Ad Hoc BPC Data Linked'!BW66</f>
        <v>28680188.699999999</v>
      </c>
      <c r="CW4" s="8">
        <f>'Ad Hoc BPC Data Linked'!BX66</f>
        <v>65054350.189999998</v>
      </c>
      <c r="CX4" s="8">
        <f>'Ad Hoc BPC Data Linked'!BY66</f>
        <v>12367334.73</v>
      </c>
      <c r="CY4" s="8">
        <f>'Ad Hoc BPC Data Linked'!BZ66</f>
        <v>25066078.210000001</v>
      </c>
      <c r="CZ4" s="8">
        <f>'Ad Hoc BPC Data Linked'!CA66</f>
        <v>61550980.32</v>
      </c>
      <c r="DA4" s="8">
        <f>'Ad Hoc BPC Data Linked'!CB66</f>
        <v>18987055.039999999</v>
      </c>
      <c r="DB4" s="8">
        <f>'Ad Hoc BPC Data Linked'!CC66</f>
        <v>42060688.770000003</v>
      </c>
      <c r="DC4" s="8">
        <f>'Ad Hoc BPC Data Linked'!CD66</f>
        <v>69495845.959999993</v>
      </c>
      <c r="DD4" s="8">
        <f>'Ad Hoc BPC Data Linked'!CE66</f>
        <v>32301092.830000002</v>
      </c>
      <c r="DE4" s="8">
        <f>'Ad Hoc BPC Data Linked'!CF66</f>
        <v>42396059.239999995</v>
      </c>
      <c r="DF4" s="8">
        <f>'Ad Hoc BPC Data Linked'!CG66</f>
        <v>110164029.27000001</v>
      </c>
    </row>
    <row r="5" spans="2:110" ht="15">
      <c r="B5" s="7" t="s">
        <v>29</v>
      </c>
      <c r="C5" s="8">
        <f>'[1]Ad Hoc BPC Data Linked'!D42*-1</f>
        <v>1773623.2299999997</v>
      </c>
      <c r="D5" s="8">
        <f>'[1]Ad Hoc BPC Data Linked'!E42*-1</f>
        <v>2856430.6399999997</v>
      </c>
      <c r="E5" s="8">
        <f>'[1]Ad Hoc BPC Data Linked'!F42*-1</f>
        <v>14591669.550000001</v>
      </c>
      <c r="F5" s="8">
        <f>'[1]Ad Hoc BPC Data Linked'!G42*-1</f>
        <v>1566789.1999999997</v>
      </c>
      <c r="G5" s="8">
        <f>'[1]Ad Hoc BPC Data Linked'!H42*-1</f>
        <v>11233139.389999999</v>
      </c>
      <c r="H5" s="8">
        <f>'[1]Ad Hoc BPC Data Linked'!I42*-1</f>
        <v>15785339.970000001</v>
      </c>
      <c r="I5" s="8">
        <f>'[1]Ad Hoc BPC Data Linked'!J42*-1</f>
        <v>2418393.6799999997</v>
      </c>
      <c r="J5" s="8">
        <f>'[1]Ad Hoc BPC Data Linked'!K42*-1</f>
        <v>4193558.2300000004</v>
      </c>
      <c r="K5" s="8">
        <f>'[1]Ad Hoc BPC Data Linked'!L42*-1</f>
        <v>13041038.300000001</v>
      </c>
      <c r="L5" s="8">
        <f>'[1]Ad Hoc BPC Data Linked'!M42*-1</f>
        <v>4510786.5</v>
      </c>
      <c r="M5" s="8">
        <f>'[1]Ad Hoc BPC Data Linked'!N42*-1</f>
        <v>5866465.9299999997</v>
      </c>
      <c r="N5" s="8">
        <f>'[1]Ad Hoc BPC Data Linked'!O42*-1</f>
        <v>25020786.639999997</v>
      </c>
      <c r="O5" s="8">
        <f>'[1]Ad Hoc BPC Data Linked'!P42*-1</f>
        <v>2855374.19</v>
      </c>
      <c r="P5" s="8">
        <f>'[1]Ad Hoc BPC Data Linked'!Q42*-1</f>
        <v>9613566.8000000026</v>
      </c>
      <c r="Q5" s="8">
        <f>'[1]Ad Hoc BPC Data Linked'!R42*-1</f>
        <v>13104112.579999998</v>
      </c>
      <c r="R5" s="8">
        <f>'[1]Ad Hoc BPC Data Linked'!S42*-1</f>
        <v>3645406.85</v>
      </c>
      <c r="S5" s="8">
        <f>'[1]Ad Hoc BPC Data Linked'!T42*-1</f>
        <v>4860663.3</v>
      </c>
      <c r="T5" s="8">
        <f>'[1]Ad Hoc BPC Data Linked'!U42*-1</f>
        <v>17475256.189999998</v>
      </c>
      <c r="U5" s="8">
        <f>'[1]Ad Hoc BPC Data Linked'!V42*-1</f>
        <v>2980399.2199999997</v>
      </c>
      <c r="V5" s="8">
        <f>'[1]Ad Hoc BPC Data Linked'!W42*-1</f>
        <v>5124560.4799999995</v>
      </c>
      <c r="W5" s="8">
        <f>'[1]Ad Hoc BPC Data Linked'!X42*-1</f>
        <v>13392255.949999999</v>
      </c>
      <c r="X5" s="8">
        <f>'[1]Ad Hoc BPC Data Linked'!Y42*-1</f>
        <v>7549982.0500000007</v>
      </c>
      <c r="Y5" s="8">
        <f>'[1]Ad Hoc BPC Data Linked'!Z42*-1</f>
        <v>6990819.0100000007</v>
      </c>
      <c r="Z5" s="8">
        <f>'[1]Ad Hoc BPC Data Linked'!AA42*-1</f>
        <v>31280529.890000004</v>
      </c>
      <c r="AA5" s="8">
        <f>'Ad Hoc BPC Data Linked'!B68*-1</f>
        <v>3173399.1000000006</v>
      </c>
      <c r="AB5" s="8">
        <f>'Ad Hoc BPC Data Linked'!C68*-1</f>
        <v>3863831.4099999997</v>
      </c>
      <c r="AC5" s="8">
        <f>'Ad Hoc BPC Data Linked'!D68*-1</f>
        <v>19891049.940000001</v>
      </c>
      <c r="AD5" s="8">
        <f>'Ad Hoc BPC Data Linked'!E68*-1</f>
        <v>2789201.88</v>
      </c>
      <c r="AE5" s="8">
        <f>'Ad Hoc BPC Data Linked'!F68*-1</f>
        <v>7664037.0800000001</v>
      </c>
      <c r="AF5" s="8">
        <f>'Ad Hoc BPC Data Linked'!G68*-1</f>
        <v>18671829.649999999</v>
      </c>
      <c r="AG5" s="8">
        <f>'Ad Hoc BPC Data Linked'!H68*-1</f>
        <v>3985348.8100000005</v>
      </c>
      <c r="AH5" s="8">
        <f>'Ad Hoc BPC Data Linked'!I68*-1</f>
        <v>7156847.4500000002</v>
      </c>
      <c r="AI5" s="8">
        <f>'Ad Hoc BPC Data Linked'!J68*-1</f>
        <v>18319094.829999998</v>
      </c>
      <c r="AJ5" s="8">
        <f>'Ad Hoc BPC Data Linked'!K68*-1</f>
        <v>2182779.88</v>
      </c>
      <c r="AK5" s="8">
        <f>'Ad Hoc BPC Data Linked'!L68*-1</f>
        <v>8783838.7799999993</v>
      </c>
      <c r="AL5" s="8">
        <f>'Ad Hoc BPC Data Linked'!M68*-1</f>
        <v>45364891.629999995</v>
      </c>
      <c r="AM5" s="8">
        <f>'Ad Hoc BPC Data Linked'!N68*-1</f>
        <v>2459665.4899999993</v>
      </c>
      <c r="AN5" s="8">
        <f>'Ad Hoc BPC Data Linked'!O68*-1</f>
        <v>2979846.2800000003</v>
      </c>
      <c r="AO5" s="8">
        <f>'Ad Hoc BPC Data Linked'!P68*-1</f>
        <v>7247207.9500000002</v>
      </c>
      <c r="AP5" s="8">
        <f>'Ad Hoc BPC Data Linked'!Q68*-1</f>
        <v>164808.72</v>
      </c>
      <c r="AQ5" s="8">
        <f>'Ad Hoc BPC Data Linked'!R68*-1</f>
        <v>2405896.5099999998</v>
      </c>
      <c r="AR5" s="8">
        <f>'Ad Hoc BPC Data Linked'!S68*-1</f>
        <v>14791818.4</v>
      </c>
      <c r="AS5" s="8">
        <f>'Ad Hoc BPC Data Linked'!T68*-1</f>
        <v>1620266.62</v>
      </c>
      <c r="AT5" s="8">
        <f>'Ad Hoc BPC Data Linked'!U68*-1</f>
        <v>3748034.4699999997</v>
      </c>
      <c r="AU5" s="8">
        <f>'Ad Hoc BPC Data Linked'!V68*-1</f>
        <v>9684952.2299999986</v>
      </c>
      <c r="AV5" s="8">
        <f>'Ad Hoc BPC Data Linked'!W68*-1</f>
        <v>3047832.82</v>
      </c>
      <c r="AW5" s="8">
        <f>'Ad Hoc BPC Data Linked'!X68*-1</f>
        <v>2673686.98</v>
      </c>
      <c r="AX5" s="8">
        <f>'Ad Hoc BPC Data Linked'!Y68*-1</f>
        <v>12827584.34</v>
      </c>
      <c r="AY5" s="8">
        <f>'Ad Hoc BPC Data Linked'!Z68*-1</f>
        <v>2895454.67</v>
      </c>
      <c r="AZ5" s="8">
        <f>'Ad Hoc BPC Data Linked'!AA68*-1</f>
        <v>3613317.8600000003</v>
      </c>
      <c r="BA5" s="8">
        <f>'Ad Hoc BPC Data Linked'!AB68*-1</f>
        <v>6791751.1899999995</v>
      </c>
      <c r="BB5" s="8">
        <f>'Ad Hoc BPC Data Linked'!AC68*-1</f>
        <v>4147515.2699999996</v>
      </c>
      <c r="BC5" s="8">
        <f>'Ad Hoc BPC Data Linked'!AD68*-1</f>
        <v>6823062.3399999999</v>
      </c>
      <c r="BD5" s="8">
        <f>'Ad Hoc BPC Data Linked'!AE68*-1</f>
        <v>10837824.969999999</v>
      </c>
      <c r="BE5" s="8">
        <f>'Ad Hoc BPC Data Linked'!AF68*-1</f>
        <v>5550111.8700000001</v>
      </c>
      <c r="BF5" s="8">
        <f>'Ad Hoc BPC Data Linked'!AG68*-1</f>
        <v>4844530.2399999993</v>
      </c>
      <c r="BG5" s="8">
        <f>'Ad Hoc BPC Data Linked'!AH68*-1</f>
        <v>10334253.309999999</v>
      </c>
      <c r="BH5" s="8">
        <f>'Ad Hoc BPC Data Linked'!AI68*-1</f>
        <v>2596722.1800000002</v>
      </c>
      <c r="BI5" s="8">
        <f>'Ad Hoc BPC Data Linked'!AJ68*-1</f>
        <v>5758677.6800000006</v>
      </c>
      <c r="BJ5" s="8">
        <f>'Ad Hoc BPC Data Linked'!AK68*-1</f>
        <v>19038608.800000001</v>
      </c>
      <c r="BK5" s="8">
        <f>'Ad Hoc BPC Data Linked'!AL68*-1</f>
        <v>6111906.8999999994</v>
      </c>
      <c r="BL5" s="8">
        <f>'Ad Hoc BPC Data Linked'!AM68*-1</f>
        <v>5244932.8400000008</v>
      </c>
      <c r="BM5" s="8">
        <f>'Ad Hoc BPC Data Linked'!AN68*-1</f>
        <v>15056783.350000001</v>
      </c>
      <c r="BN5" s="8">
        <f>'Ad Hoc BPC Data Linked'!AO68*-1</f>
        <v>3888036.71</v>
      </c>
      <c r="BO5" s="8">
        <f>'Ad Hoc BPC Data Linked'!AP68*-1</f>
        <v>4903536.49</v>
      </c>
      <c r="BP5" s="8">
        <f>'Ad Hoc BPC Data Linked'!AQ68*-1</f>
        <v>17014171.919999998</v>
      </c>
      <c r="BQ5" s="8">
        <f>'Ad Hoc BPC Data Linked'!AR68*-1</f>
        <v>3386555.66</v>
      </c>
      <c r="BR5" s="8">
        <f>'Ad Hoc BPC Data Linked'!AS68*-1</f>
        <v>7255400.3600000003</v>
      </c>
      <c r="BS5" s="8">
        <f>'Ad Hoc BPC Data Linked'!AT68*-1</f>
        <v>19659547.739999998</v>
      </c>
      <c r="BT5" s="8">
        <f>'Ad Hoc BPC Data Linked'!AU68*-1</f>
        <v>4575956.47</v>
      </c>
      <c r="BU5" s="8">
        <f>'Ad Hoc BPC Data Linked'!AV68*-1</f>
        <v>7957090.2300000004</v>
      </c>
      <c r="BV5" s="8">
        <f>'Ad Hoc BPC Data Linked'!AW68*-1</f>
        <v>20252006.200000003</v>
      </c>
      <c r="BW5" s="8">
        <f>'Ad Hoc BPC Data Linked'!AX68*-1</f>
        <v>4493277.41</v>
      </c>
      <c r="BX5" s="8">
        <f>'Ad Hoc BPC Data Linked'!AY68*-1</f>
        <v>9271269.9599999972</v>
      </c>
      <c r="BY5" s="8">
        <f>'Ad Hoc BPC Data Linked'!AZ68*-1</f>
        <v>21770871.150000002</v>
      </c>
      <c r="BZ5" s="8">
        <f>'Ad Hoc BPC Data Linked'!BA68*-1</f>
        <v>8237133.9999999991</v>
      </c>
      <c r="CA5" s="8">
        <f>'Ad Hoc BPC Data Linked'!BB68*-1</f>
        <v>12875098.440000001</v>
      </c>
      <c r="CB5" s="8">
        <f>'Ad Hoc BPC Data Linked'!BC68*-1</f>
        <v>15018509.73</v>
      </c>
      <c r="CC5" s="8">
        <f>'Ad Hoc BPC Data Linked'!BD68*-1</f>
        <v>6243649.9499999993</v>
      </c>
      <c r="CD5" s="8">
        <f>'Ad Hoc BPC Data Linked'!BE68*-1</f>
        <v>12477689.920000002</v>
      </c>
      <c r="CE5" s="8">
        <f>'Ad Hoc BPC Data Linked'!BF68*-1</f>
        <v>14878117.900000002</v>
      </c>
      <c r="CF5" s="8">
        <f>'Ad Hoc BPC Data Linked'!BG68*-1</f>
        <v>6394099.3600000003</v>
      </c>
      <c r="CG5" s="8">
        <f>'Ad Hoc BPC Data Linked'!BH68*-1</f>
        <v>10112081.59</v>
      </c>
      <c r="CH5" s="8">
        <f>'Ad Hoc BPC Data Linked'!BI68*-1</f>
        <v>16321664.83</v>
      </c>
      <c r="CI5" s="8">
        <f>'Ad Hoc BPC Data Linked'!BJ68*-1</f>
        <v>4652676.3599999994</v>
      </c>
      <c r="CJ5" s="8">
        <f>'Ad Hoc BPC Data Linked'!BK68*-1</f>
        <v>6883303.6200000001</v>
      </c>
      <c r="CK5" s="8">
        <f>'Ad Hoc BPC Data Linked'!BL68*-1</f>
        <v>17550994.010000002</v>
      </c>
      <c r="CL5" s="8">
        <f>'Ad Hoc BPC Data Linked'!BM68*-1</f>
        <v>5094493.959999999</v>
      </c>
      <c r="CM5" s="8">
        <f>'Ad Hoc BPC Data Linked'!BN68*-1</f>
        <v>7460820.8300000001</v>
      </c>
      <c r="CN5" s="8">
        <f>'Ad Hoc BPC Data Linked'!BO68*-1</f>
        <v>21001170.280000001</v>
      </c>
      <c r="CO5" s="8">
        <f>'Ad Hoc BPC Data Linked'!BP68*-1</f>
        <v>3127999.21</v>
      </c>
      <c r="CP5" s="8">
        <f>'Ad Hoc BPC Data Linked'!BQ68*-1</f>
        <v>6293990.3399999989</v>
      </c>
      <c r="CQ5" s="8">
        <f>'Ad Hoc BPC Data Linked'!BR68*-1</f>
        <v>15999741.67</v>
      </c>
      <c r="CR5" s="8">
        <f>'Ad Hoc BPC Data Linked'!BS68*-1</f>
        <v>6059769.6099999994</v>
      </c>
      <c r="CS5" s="8">
        <f>'Ad Hoc BPC Data Linked'!BT68*-1</f>
        <v>7728167.4199999999</v>
      </c>
      <c r="CT5" s="8">
        <f>'Ad Hoc BPC Data Linked'!BU68*-1</f>
        <v>34602766.640000008</v>
      </c>
      <c r="CU5" s="8">
        <f>'Ad Hoc BPC Data Linked'!BV68*-1</f>
        <v>3534895.2300000004</v>
      </c>
      <c r="CV5" s="8">
        <f>'Ad Hoc BPC Data Linked'!BW68*-1</f>
        <v>8319033.3200000012</v>
      </c>
      <c r="CW5" s="8">
        <f>'Ad Hoc BPC Data Linked'!BX68*-1</f>
        <v>17481764.149999999</v>
      </c>
      <c r="CX5" s="8">
        <f>'Ad Hoc BPC Data Linked'!BY68*-1</f>
        <v>3887789.1600000006</v>
      </c>
      <c r="CY5" s="8">
        <f>'Ad Hoc BPC Data Linked'!BZ68*-1</f>
        <v>6567825.0999999996</v>
      </c>
      <c r="CZ5" s="8">
        <f>'Ad Hoc BPC Data Linked'!CA68*-1</f>
        <v>18248166.669999998</v>
      </c>
      <c r="DA5" s="8">
        <f>'Ad Hoc BPC Data Linked'!CB68*-1</f>
        <v>5009594.7799999993</v>
      </c>
      <c r="DB5" s="8">
        <f>'Ad Hoc BPC Data Linked'!CC68*-1</f>
        <v>9010715.1399999987</v>
      </c>
      <c r="DC5" s="8">
        <f>'Ad Hoc BPC Data Linked'!CD68*-1</f>
        <v>17800299</v>
      </c>
      <c r="DD5" s="8">
        <f>'Ad Hoc BPC Data Linked'!CE68*-1</f>
        <v>7951970.2400000002</v>
      </c>
      <c r="DE5" s="8">
        <f>'Ad Hoc BPC Data Linked'!CF68*-1</f>
        <v>9351362.4000000004</v>
      </c>
      <c r="DF5" s="8">
        <f>'Ad Hoc BPC Data Linked'!CG68*-1</f>
        <v>22943561.890000004</v>
      </c>
    </row>
    <row r="6" spans="2:110" ht="15">
      <c r="B6" s="7" t="s">
        <v>30</v>
      </c>
      <c r="C6" s="8">
        <f t="shared" ref="C6:AA6" si="0">C4-C5</f>
        <v>3902999.12</v>
      </c>
      <c r="D6" s="8">
        <f t="shared" si="0"/>
        <v>8932763.8999999985</v>
      </c>
      <c r="E6" s="8">
        <f t="shared" si="0"/>
        <v>37388596.469999999</v>
      </c>
      <c r="F6" s="8">
        <f t="shared" si="0"/>
        <v>5731954.0199999996</v>
      </c>
      <c r="G6" s="8">
        <f t="shared" si="0"/>
        <v>25910466.519999996</v>
      </c>
      <c r="H6" s="8">
        <f t="shared" si="0"/>
        <v>40524469.760000005</v>
      </c>
      <c r="I6" s="8">
        <f t="shared" si="0"/>
        <v>8095032.6199999992</v>
      </c>
      <c r="J6" s="8">
        <f t="shared" si="0"/>
        <v>9418745.0299999993</v>
      </c>
      <c r="K6" s="8">
        <f t="shared" si="0"/>
        <v>28144568.620000001</v>
      </c>
      <c r="L6" s="8">
        <f t="shared" si="0"/>
        <v>4568786.3000000007</v>
      </c>
      <c r="M6" s="8">
        <f t="shared" si="0"/>
        <v>16452130.530000001</v>
      </c>
      <c r="N6" s="8">
        <f t="shared" si="0"/>
        <v>50412313.63000001</v>
      </c>
      <c r="O6" s="8">
        <f t="shared" si="0"/>
        <v>5509071.0700000003</v>
      </c>
      <c r="P6" s="8">
        <f t="shared" si="0"/>
        <v>11707369.689999999</v>
      </c>
      <c r="Q6" s="8">
        <f t="shared" si="0"/>
        <v>32075641.190000005</v>
      </c>
      <c r="R6" s="8">
        <f t="shared" si="0"/>
        <v>6266446.2100000009</v>
      </c>
      <c r="S6" s="8">
        <f t="shared" si="0"/>
        <v>16613591.699999999</v>
      </c>
      <c r="T6" s="8">
        <f t="shared" si="0"/>
        <v>38609285.100000009</v>
      </c>
      <c r="U6" s="8">
        <f t="shared" si="0"/>
        <v>8580794.7899999991</v>
      </c>
      <c r="V6" s="8">
        <f t="shared" si="0"/>
        <v>10863338.449999999</v>
      </c>
      <c r="W6" s="8">
        <f t="shared" si="0"/>
        <v>33918816.099999994</v>
      </c>
      <c r="X6" s="8">
        <f t="shared" si="0"/>
        <v>15021087.829999998</v>
      </c>
      <c r="Y6" s="8">
        <f t="shared" si="0"/>
        <v>17013887.369999997</v>
      </c>
      <c r="Z6" s="8">
        <f t="shared" si="0"/>
        <v>62456938.640000001</v>
      </c>
      <c r="AA6" s="8">
        <f t="shared" si="0"/>
        <v>6875354.2999999998</v>
      </c>
      <c r="AB6" s="8">
        <f t="shared" ref="AB6:AT6" si="1">AB4-AB5</f>
        <v>7464479.4000000004</v>
      </c>
      <c r="AC6" s="8">
        <f t="shared" si="1"/>
        <v>48453561.760000005</v>
      </c>
      <c r="AD6" s="8">
        <f t="shared" si="1"/>
        <v>9037801.0100000016</v>
      </c>
      <c r="AE6" s="8">
        <f t="shared" si="1"/>
        <v>17547050.049999997</v>
      </c>
      <c r="AF6" s="8">
        <f t="shared" si="1"/>
        <v>45732617.310000002</v>
      </c>
      <c r="AG6" s="8">
        <f t="shared" si="1"/>
        <v>10132458.559999999</v>
      </c>
      <c r="AH6" s="8">
        <f t="shared" si="1"/>
        <v>17148497</v>
      </c>
      <c r="AI6" s="8">
        <f t="shared" si="1"/>
        <v>45875990.710000001</v>
      </c>
      <c r="AJ6" s="8">
        <f t="shared" si="1"/>
        <v>6115753.0699999994</v>
      </c>
      <c r="AK6" s="8">
        <f t="shared" si="1"/>
        <v>22492872.159999996</v>
      </c>
      <c r="AL6" s="8">
        <f t="shared" si="1"/>
        <v>81329016.690000013</v>
      </c>
      <c r="AM6" s="8">
        <f t="shared" si="1"/>
        <v>6136420.120000002</v>
      </c>
      <c r="AN6" s="8">
        <f t="shared" si="1"/>
        <v>8272241.1800000006</v>
      </c>
      <c r="AO6" s="8">
        <f t="shared" si="1"/>
        <v>15191273.399999999</v>
      </c>
      <c r="AP6" s="8">
        <f t="shared" si="1"/>
        <v>1202356.28</v>
      </c>
      <c r="AQ6" s="8">
        <f t="shared" si="1"/>
        <v>8001855.6899999995</v>
      </c>
      <c r="AR6" s="8">
        <f t="shared" si="1"/>
        <v>30638800.399999999</v>
      </c>
      <c r="AS6" s="8">
        <f t="shared" si="1"/>
        <v>4888318.18</v>
      </c>
      <c r="AT6" s="8">
        <f t="shared" si="1"/>
        <v>9398406.4100000001</v>
      </c>
      <c r="AU6" s="8">
        <f t="shared" ref="AU6:AW6" si="2">AU4-AU5</f>
        <v>22567288.18</v>
      </c>
      <c r="AV6" s="8">
        <f t="shared" si="2"/>
        <v>8888255.8599999994</v>
      </c>
      <c r="AW6" s="8">
        <f t="shared" si="2"/>
        <v>7695348.0199999996</v>
      </c>
      <c r="AX6" s="8">
        <f t="shared" ref="AX6" si="3">AX4-AX5</f>
        <v>30358414.459999997</v>
      </c>
      <c r="AY6" s="8">
        <f t="shared" ref="AY6:AZ6" si="4">AY4-AY5</f>
        <v>7906322.3900000006</v>
      </c>
      <c r="AZ6" s="8">
        <f t="shared" si="4"/>
        <v>10938885.140000001</v>
      </c>
      <c r="BA6" s="8">
        <f t="shared" ref="BA6:BB6" si="5">BA4-BA5</f>
        <v>21395779.460000001</v>
      </c>
      <c r="BB6" s="8">
        <f t="shared" si="5"/>
        <v>10775885.390000001</v>
      </c>
      <c r="BC6" s="8">
        <f t="shared" ref="BC6:BD6" si="6">BC4-BC5</f>
        <v>14519864.02</v>
      </c>
      <c r="BD6" s="8">
        <f t="shared" si="6"/>
        <v>31966014.990000002</v>
      </c>
      <c r="BE6" s="8">
        <f t="shared" ref="BE6:BF6" si="7">BE4-BE5</f>
        <v>15278591.620000001</v>
      </c>
      <c r="BF6" s="8">
        <f t="shared" si="7"/>
        <v>14371952.900000002</v>
      </c>
      <c r="BG6" s="8">
        <f t="shared" ref="BG6:BH6" si="8">BG4-BG5</f>
        <v>25618272.389999997</v>
      </c>
      <c r="BH6" s="8">
        <f t="shared" si="8"/>
        <v>8427678.8200000003</v>
      </c>
      <c r="BI6" s="8">
        <f t="shared" ref="BI6:BJ6" si="9">BI4-BI5</f>
        <v>17538775.059999999</v>
      </c>
      <c r="BJ6" s="8">
        <f t="shared" si="9"/>
        <v>52030819.900000006</v>
      </c>
      <c r="BK6" s="8">
        <f t="shared" ref="BK6:BL6" si="10">BK4-BK5</f>
        <v>19599644.560000002</v>
      </c>
      <c r="BL6" s="8">
        <f t="shared" si="10"/>
        <v>18281636.260000002</v>
      </c>
      <c r="BM6" s="8">
        <f t="shared" ref="BM6:BN6" si="11">BM4-BM5</f>
        <v>40952648.629999995</v>
      </c>
      <c r="BN6" s="8">
        <f t="shared" si="11"/>
        <v>11854247.600000001</v>
      </c>
      <c r="BO6" s="8">
        <f t="shared" ref="BO6:BP6" si="12">BO4-BO5</f>
        <v>15208029.709999999</v>
      </c>
      <c r="BP6" s="8">
        <f t="shared" si="12"/>
        <v>49470506.770000011</v>
      </c>
      <c r="BQ6" s="8">
        <f t="shared" ref="BQ6:BR6" si="13">BQ4-BQ5</f>
        <v>11843161.799999999</v>
      </c>
      <c r="BR6" s="8">
        <f t="shared" si="13"/>
        <v>27999181.439999998</v>
      </c>
      <c r="BS6" s="8">
        <f t="shared" ref="BS6:BT6" si="14">BS4-BS5</f>
        <v>62275865.260000005</v>
      </c>
      <c r="BT6" s="8">
        <f t="shared" si="14"/>
        <v>16324493.460000001</v>
      </c>
      <c r="BU6" s="8">
        <f t="shared" ref="BU6:BV6" si="15">BU4-BU5</f>
        <v>35888447.040000007</v>
      </c>
      <c r="BV6" s="8">
        <f t="shared" si="15"/>
        <v>63695650.170000002</v>
      </c>
      <c r="BW6" s="8">
        <f t="shared" ref="BW6:BX6" si="16">BW4-BW5</f>
        <v>19353795.370000001</v>
      </c>
      <c r="BX6" s="8">
        <f t="shared" si="16"/>
        <v>26055498.449999999</v>
      </c>
      <c r="BY6" s="8">
        <f t="shared" ref="BY6:BZ6" si="17">BY4-BY5</f>
        <v>59357649.790000007</v>
      </c>
      <c r="BZ6" s="8">
        <f t="shared" si="17"/>
        <v>21666918.690000001</v>
      </c>
      <c r="CA6" s="8">
        <f t="shared" ref="CA6:CB6" si="18">CA4-CA5</f>
        <v>37935952.329999998</v>
      </c>
      <c r="CB6" s="8">
        <f t="shared" si="18"/>
        <v>45909717.170000002</v>
      </c>
      <c r="CC6" s="8">
        <f t="shared" ref="CC6:CD6" si="19">CC4-CC5</f>
        <v>19515254.93</v>
      </c>
      <c r="CD6" s="8">
        <f t="shared" si="19"/>
        <v>37115289.049999997</v>
      </c>
      <c r="CE6" s="8">
        <f t="shared" ref="CE6:CF6" si="20">CE4-CE5</f>
        <v>44854357.219999999</v>
      </c>
      <c r="CF6" s="8">
        <f t="shared" si="20"/>
        <v>23853271.27</v>
      </c>
      <c r="CG6" s="8">
        <f t="shared" ref="CG6:CH6" si="21">CG4-CG5</f>
        <v>33136181.189999994</v>
      </c>
      <c r="CH6" s="8">
        <f t="shared" si="21"/>
        <v>52404985.200000003</v>
      </c>
      <c r="CI6" s="8">
        <f t="shared" ref="CI6:CJ6" si="22">CI4-CI5</f>
        <v>11855163.17</v>
      </c>
      <c r="CJ6" s="8">
        <f t="shared" si="22"/>
        <v>22003922.189999998</v>
      </c>
      <c r="CK6" s="8">
        <f t="shared" ref="CK6:CL6" si="23">CK4-CK5</f>
        <v>51745923.149999991</v>
      </c>
      <c r="CL6" s="8">
        <f t="shared" si="23"/>
        <v>14535566.800000003</v>
      </c>
      <c r="CM6" s="8">
        <f t="shared" ref="CM6:CN6" si="24">CM4-CM5</f>
        <v>17963275.350000001</v>
      </c>
      <c r="CN6" s="8">
        <f t="shared" si="24"/>
        <v>51486496.219999999</v>
      </c>
      <c r="CO6" s="8">
        <f t="shared" ref="CO6:CP6" si="25">CO4-CO5</f>
        <v>14700405.16</v>
      </c>
      <c r="CP6" s="8">
        <f t="shared" si="25"/>
        <v>26909375.129999999</v>
      </c>
      <c r="CQ6" s="8">
        <f t="shared" ref="CQ6:CR6" si="26">CQ4-CQ5</f>
        <v>52147126.399999991</v>
      </c>
      <c r="CR6" s="8">
        <f t="shared" si="26"/>
        <v>18261742.800000001</v>
      </c>
      <c r="CS6" s="8">
        <f t="shared" ref="CS6:CU6" si="27">CS4-CS5</f>
        <v>27621124.210000001</v>
      </c>
      <c r="CT6" s="8">
        <f t="shared" si="27"/>
        <v>86911844.789999992</v>
      </c>
      <c r="CU6" s="8">
        <f t="shared" si="27"/>
        <v>10348400.639999999</v>
      </c>
      <c r="CV6" s="8">
        <f t="shared" ref="CV6:CW6" si="28">CV4-CV5</f>
        <v>20361155.379999999</v>
      </c>
      <c r="CW6" s="8">
        <f t="shared" si="28"/>
        <v>47572586.039999999</v>
      </c>
      <c r="CX6" s="8">
        <f t="shared" ref="CX6:CY6" si="29">CX4-CX5</f>
        <v>8479545.5700000003</v>
      </c>
      <c r="CY6" s="8">
        <f t="shared" si="29"/>
        <v>18498253.109999999</v>
      </c>
      <c r="CZ6" s="8">
        <f t="shared" ref="CZ6:DA6" si="30">CZ4-CZ5</f>
        <v>43302813.650000006</v>
      </c>
      <c r="DA6" s="8">
        <f t="shared" si="30"/>
        <v>13977460.26</v>
      </c>
      <c r="DB6" s="8">
        <f t="shared" ref="DB6:DC6" si="31">DB4-DB5</f>
        <v>33049973.630000003</v>
      </c>
      <c r="DC6" s="8">
        <f t="shared" si="31"/>
        <v>51695546.959999993</v>
      </c>
      <c r="DD6" s="8">
        <f>DD4-DD5</f>
        <v>24349122.590000004</v>
      </c>
      <c r="DE6" s="8">
        <f>DE4-DE5</f>
        <v>33044696.839999996</v>
      </c>
      <c r="DF6" s="8">
        <f>DF4-DF5</f>
        <v>87220467.38000001</v>
      </c>
    </row>
    <row r="7" spans="2:110" ht="15">
      <c r="B7" s="7" t="s">
        <v>31</v>
      </c>
      <c r="C7" s="8">
        <f>'[1]Ad Hoc BPC Data Linked'!D62</f>
        <v>0</v>
      </c>
      <c r="D7" s="8">
        <f>'[1]Ad Hoc BPC Data Linked'!E62</f>
        <v>0</v>
      </c>
      <c r="E7" s="8">
        <f>'[1]Ad Hoc BPC Data Linked'!F62</f>
        <v>0</v>
      </c>
      <c r="F7" s="8">
        <f>'[1]Ad Hoc BPC Data Linked'!G62</f>
        <v>0</v>
      </c>
      <c r="G7" s="8">
        <f>'[1]Ad Hoc BPC Data Linked'!H62</f>
        <v>0</v>
      </c>
      <c r="H7" s="8">
        <f>'[1]Ad Hoc BPC Data Linked'!I62</f>
        <v>0</v>
      </c>
      <c r="I7" s="8">
        <f>'[1]Ad Hoc BPC Data Linked'!J62</f>
        <v>0</v>
      </c>
      <c r="J7" s="8">
        <f>'[1]Ad Hoc BPC Data Linked'!K62</f>
        <v>0</v>
      </c>
      <c r="K7" s="8">
        <f>'[1]Ad Hoc BPC Data Linked'!L62</f>
        <v>0</v>
      </c>
      <c r="L7" s="8">
        <f>'[1]Ad Hoc BPC Data Linked'!M62</f>
        <v>0</v>
      </c>
      <c r="M7" s="8">
        <f>'[1]Ad Hoc BPC Data Linked'!N62</f>
        <v>0</v>
      </c>
      <c r="N7" s="8">
        <f>'[1]Ad Hoc BPC Data Linked'!O62</f>
        <v>0</v>
      </c>
      <c r="O7" s="8">
        <f>'[1]Ad Hoc BPC Data Linked'!P62</f>
        <v>0</v>
      </c>
      <c r="P7" s="8">
        <f>'[1]Ad Hoc BPC Data Linked'!Q62</f>
        <v>0</v>
      </c>
      <c r="Q7" s="8">
        <f>'[1]Ad Hoc BPC Data Linked'!R62</f>
        <v>0</v>
      </c>
      <c r="R7" s="8">
        <f>'[1]Ad Hoc BPC Data Linked'!S62</f>
        <v>0</v>
      </c>
      <c r="S7" s="8">
        <f>'[1]Ad Hoc BPC Data Linked'!T62</f>
        <v>0</v>
      </c>
      <c r="T7" s="8">
        <f>'[1]Ad Hoc BPC Data Linked'!U62</f>
        <v>0</v>
      </c>
      <c r="U7" s="8">
        <f>'[1]Ad Hoc BPC Data Linked'!V62</f>
        <v>0</v>
      </c>
      <c r="V7" s="8">
        <f>'[1]Ad Hoc BPC Data Linked'!W62</f>
        <v>0</v>
      </c>
      <c r="W7" s="8">
        <f>'[1]Ad Hoc BPC Data Linked'!X62</f>
        <v>0</v>
      </c>
      <c r="X7" s="8">
        <f>'[1]Ad Hoc BPC Data Linked'!Y62</f>
        <v>0</v>
      </c>
      <c r="Y7" s="8">
        <f>'[1]Ad Hoc BPC Data Linked'!Z62</f>
        <v>0</v>
      </c>
      <c r="Z7" s="8">
        <f>'[1]Ad Hoc BPC Data Linked'!AA62</f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1</v>
      </c>
      <c r="BV7" s="5">
        <v>0</v>
      </c>
      <c r="BW7" s="5">
        <v>1</v>
      </c>
      <c r="BX7" s="5">
        <v>0</v>
      </c>
      <c r="BY7" s="5">
        <v>1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1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1</v>
      </c>
      <c r="DF7" s="5">
        <v>2</v>
      </c>
    </row>
    <row r="8" spans="2:110" ht="15">
      <c r="B8" s="7" t="s">
        <v>32</v>
      </c>
      <c r="C8" s="8">
        <f t="shared" ref="C8:Z8" si="32">C6-C7</f>
        <v>3902999.12</v>
      </c>
      <c r="D8" s="8">
        <f t="shared" si="32"/>
        <v>8932763.8999999985</v>
      </c>
      <c r="E8" s="8">
        <f t="shared" si="32"/>
        <v>37388596.469999999</v>
      </c>
      <c r="F8" s="8">
        <f t="shared" si="32"/>
        <v>5731954.0199999996</v>
      </c>
      <c r="G8" s="8">
        <f t="shared" si="32"/>
        <v>25910466.519999996</v>
      </c>
      <c r="H8" s="8">
        <f t="shared" si="32"/>
        <v>40524469.760000005</v>
      </c>
      <c r="I8" s="8">
        <f t="shared" si="32"/>
        <v>8095032.6199999992</v>
      </c>
      <c r="J8" s="8">
        <f t="shared" si="32"/>
        <v>9418745.0299999993</v>
      </c>
      <c r="K8" s="8">
        <f t="shared" si="32"/>
        <v>28144568.620000001</v>
      </c>
      <c r="L8" s="8">
        <f t="shared" si="32"/>
        <v>4568786.3000000007</v>
      </c>
      <c r="M8" s="8">
        <f t="shared" si="32"/>
        <v>16452130.530000001</v>
      </c>
      <c r="N8" s="8">
        <f t="shared" si="32"/>
        <v>50412313.63000001</v>
      </c>
      <c r="O8" s="8">
        <f t="shared" si="32"/>
        <v>5509071.0700000003</v>
      </c>
      <c r="P8" s="8">
        <f t="shared" si="32"/>
        <v>11707369.689999999</v>
      </c>
      <c r="Q8" s="8">
        <f t="shared" si="32"/>
        <v>32075641.190000005</v>
      </c>
      <c r="R8" s="8">
        <f t="shared" si="32"/>
        <v>6266446.2100000009</v>
      </c>
      <c r="S8" s="8">
        <f t="shared" si="32"/>
        <v>16613591.699999999</v>
      </c>
      <c r="T8" s="8">
        <f t="shared" si="32"/>
        <v>38609285.100000009</v>
      </c>
      <c r="U8" s="8">
        <f t="shared" si="32"/>
        <v>8580794.7899999991</v>
      </c>
      <c r="V8" s="8">
        <f t="shared" si="32"/>
        <v>10863338.449999999</v>
      </c>
      <c r="W8" s="8">
        <f t="shared" si="32"/>
        <v>33918816.099999994</v>
      </c>
      <c r="X8" s="8">
        <f t="shared" si="32"/>
        <v>15021087.829999998</v>
      </c>
      <c r="Y8" s="8">
        <f t="shared" si="32"/>
        <v>17013887.369999997</v>
      </c>
      <c r="Z8" s="8">
        <f t="shared" si="32"/>
        <v>62456938.640000001</v>
      </c>
      <c r="AA8" s="8">
        <f>AA6-AA7</f>
        <v>6875354.2999999998</v>
      </c>
      <c r="AB8" s="8">
        <f t="shared" ref="AB8:AT8" si="33">AB6-AB7</f>
        <v>7464479.4000000004</v>
      </c>
      <c r="AC8" s="8">
        <f t="shared" si="33"/>
        <v>48453561.760000005</v>
      </c>
      <c r="AD8" s="8">
        <f t="shared" si="33"/>
        <v>9037801.0100000016</v>
      </c>
      <c r="AE8" s="8">
        <f t="shared" si="33"/>
        <v>17547050.049999997</v>
      </c>
      <c r="AF8" s="8">
        <f t="shared" si="33"/>
        <v>45732617.310000002</v>
      </c>
      <c r="AG8" s="8">
        <f t="shared" si="33"/>
        <v>10132458.559999999</v>
      </c>
      <c r="AH8" s="8">
        <f t="shared" si="33"/>
        <v>17148497</v>
      </c>
      <c r="AI8" s="8">
        <f t="shared" si="33"/>
        <v>45875990.710000001</v>
      </c>
      <c r="AJ8" s="8">
        <f t="shared" si="33"/>
        <v>6115753.0699999994</v>
      </c>
      <c r="AK8" s="8">
        <f t="shared" si="33"/>
        <v>22492872.159999996</v>
      </c>
      <c r="AL8" s="8">
        <f t="shared" si="33"/>
        <v>81329016.690000013</v>
      </c>
      <c r="AM8" s="8">
        <f t="shared" si="33"/>
        <v>6136420.120000002</v>
      </c>
      <c r="AN8" s="8">
        <f t="shared" si="33"/>
        <v>8272241.1800000006</v>
      </c>
      <c r="AO8" s="8">
        <f t="shared" si="33"/>
        <v>15191273.399999999</v>
      </c>
      <c r="AP8" s="8">
        <f t="shared" si="33"/>
        <v>1202356.28</v>
      </c>
      <c r="AQ8" s="8">
        <f t="shared" si="33"/>
        <v>8001855.6899999995</v>
      </c>
      <c r="AR8" s="8">
        <f t="shared" si="33"/>
        <v>30638800.399999999</v>
      </c>
      <c r="AS8" s="8">
        <f t="shared" si="33"/>
        <v>4888318.18</v>
      </c>
      <c r="AT8" s="8">
        <f t="shared" si="33"/>
        <v>9398406.4100000001</v>
      </c>
      <c r="AU8" s="8">
        <f t="shared" ref="AU8:AW8" si="34">AU6-AU7</f>
        <v>22567288.18</v>
      </c>
      <c r="AV8" s="8">
        <f t="shared" si="34"/>
        <v>8888255.8599999994</v>
      </c>
      <c r="AW8" s="8">
        <f t="shared" si="34"/>
        <v>7695348.0199999996</v>
      </c>
      <c r="AX8" s="8">
        <f t="shared" ref="AX8" si="35">AX6-AX7</f>
        <v>30358414.459999997</v>
      </c>
      <c r="AY8" s="8">
        <f t="shared" ref="AY8:AZ8" si="36">AY6-AY7</f>
        <v>7906322.3900000006</v>
      </c>
      <c r="AZ8" s="8">
        <f t="shared" si="36"/>
        <v>10938885.140000001</v>
      </c>
      <c r="BA8" s="8">
        <f t="shared" ref="BA8:BB8" si="37">BA6-BA7</f>
        <v>21395779.460000001</v>
      </c>
      <c r="BB8" s="8">
        <f t="shared" si="37"/>
        <v>10775885.390000001</v>
      </c>
      <c r="BC8" s="8">
        <f t="shared" ref="BC8:BD8" si="38">BC6-BC7</f>
        <v>14519864.02</v>
      </c>
      <c r="BD8" s="8">
        <f t="shared" si="38"/>
        <v>31966014.990000002</v>
      </c>
      <c r="BE8" s="8">
        <f t="shared" ref="BE8:BF8" si="39">BE6-BE7</f>
        <v>15278591.620000001</v>
      </c>
      <c r="BF8" s="8">
        <f t="shared" si="39"/>
        <v>14371952.900000002</v>
      </c>
      <c r="BG8" s="8">
        <f t="shared" ref="BG8:BH8" si="40">BG6-BG7</f>
        <v>25618272.389999997</v>
      </c>
      <c r="BH8" s="8">
        <f t="shared" si="40"/>
        <v>8427678.8200000003</v>
      </c>
      <c r="BI8" s="8">
        <f t="shared" ref="BI8:BJ8" si="41">BI6-BI7</f>
        <v>17538775.059999999</v>
      </c>
      <c r="BJ8" s="8">
        <f t="shared" si="41"/>
        <v>52030819.900000006</v>
      </c>
      <c r="BK8" s="8">
        <f t="shared" ref="BK8:BL8" si="42">BK6-BK7</f>
        <v>19599644.560000002</v>
      </c>
      <c r="BL8" s="8">
        <f t="shared" si="42"/>
        <v>18281636.260000002</v>
      </c>
      <c r="BM8" s="8">
        <f t="shared" ref="BM8:BN8" si="43">BM6-BM7</f>
        <v>40952648.629999995</v>
      </c>
      <c r="BN8" s="8">
        <f t="shared" si="43"/>
        <v>11854247.600000001</v>
      </c>
      <c r="BO8" s="8">
        <f t="shared" ref="BO8:BP8" si="44">BO6-BO7</f>
        <v>15208029.709999999</v>
      </c>
      <c r="BP8" s="8">
        <f t="shared" si="44"/>
        <v>49470506.770000011</v>
      </c>
      <c r="BQ8" s="8">
        <f t="shared" ref="BQ8:BR8" si="45">BQ6-BQ7</f>
        <v>11843161.799999999</v>
      </c>
      <c r="BR8" s="8">
        <f t="shared" si="45"/>
        <v>27999181.439999998</v>
      </c>
      <c r="BS8" s="8">
        <f t="shared" ref="BS8:BT8" si="46">BS6-BS7</f>
        <v>62275865.260000005</v>
      </c>
      <c r="BT8" s="8">
        <f t="shared" si="46"/>
        <v>16324493.460000001</v>
      </c>
      <c r="BU8" s="8">
        <f t="shared" ref="BU8:BV8" si="47">BU6-BU7</f>
        <v>35888446.040000007</v>
      </c>
      <c r="BV8" s="8">
        <f t="shared" si="47"/>
        <v>63695650.170000002</v>
      </c>
      <c r="BW8" s="8">
        <f t="shared" ref="BW8:BX8" si="48">BW6-BW7</f>
        <v>19353794.370000001</v>
      </c>
      <c r="BX8" s="8">
        <f t="shared" si="48"/>
        <v>26055498.449999999</v>
      </c>
      <c r="BY8" s="8">
        <f t="shared" ref="BY8:BZ8" si="49">BY6-BY7</f>
        <v>59357648.790000007</v>
      </c>
      <c r="BZ8" s="8">
        <f t="shared" si="49"/>
        <v>21666918.690000001</v>
      </c>
      <c r="CA8" s="8">
        <f t="shared" ref="CA8:CB8" si="50">CA6-CA7</f>
        <v>37935952.329999998</v>
      </c>
      <c r="CB8" s="8">
        <f t="shared" si="50"/>
        <v>45909717.170000002</v>
      </c>
      <c r="CC8" s="8">
        <f t="shared" ref="CC8:CD8" si="51">CC6-CC7</f>
        <v>19515254.93</v>
      </c>
      <c r="CD8" s="8">
        <f t="shared" si="51"/>
        <v>37115289.049999997</v>
      </c>
      <c r="CE8" s="8">
        <f t="shared" ref="CE8:CF8" si="52">CE6-CE7</f>
        <v>44854357.219999999</v>
      </c>
      <c r="CF8" s="8">
        <f t="shared" si="52"/>
        <v>23853271.27</v>
      </c>
      <c r="CG8" s="8">
        <f t="shared" ref="CG8:CH8" si="53">CG6-CG7</f>
        <v>33136181.189999994</v>
      </c>
      <c r="CH8" s="8">
        <f t="shared" si="53"/>
        <v>52404984.200000003</v>
      </c>
      <c r="CI8" s="8">
        <f t="shared" ref="CI8:CJ8" si="54">CI6-CI7</f>
        <v>11855163.17</v>
      </c>
      <c r="CJ8" s="8">
        <f t="shared" si="54"/>
        <v>22003922.189999998</v>
      </c>
      <c r="CK8" s="8">
        <f t="shared" ref="CK8:CL8" si="55">CK6-CK7</f>
        <v>51745923.149999991</v>
      </c>
      <c r="CL8" s="8">
        <f t="shared" si="55"/>
        <v>14535566.800000003</v>
      </c>
      <c r="CM8" s="8">
        <f t="shared" ref="CM8:CN8" si="56">CM6-CM7</f>
        <v>17963275.350000001</v>
      </c>
      <c r="CN8" s="8">
        <f t="shared" si="56"/>
        <v>51486496.219999999</v>
      </c>
      <c r="CO8" s="8">
        <f t="shared" ref="CO8:CP8" si="57">CO6-CO7</f>
        <v>14700405.16</v>
      </c>
      <c r="CP8" s="8">
        <f t="shared" si="57"/>
        <v>26909375.129999999</v>
      </c>
      <c r="CQ8" s="8">
        <f t="shared" ref="CQ8:CR8" si="58">CQ6-CQ7</f>
        <v>52147126.399999991</v>
      </c>
      <c r="CR8" s="8">
        <f t="shared" si="58"/>
        <v>18261742.800000001</v>
      </c>
      <c r="CS8" s="8">
        <f t="shared" ref="CS8:CU8" si="59">CS6-CS7</f>
        <v>27621124.210000001</v>
      </c>
      <c r="CT8" s="8">
        <f t="shared" si="59"/>
        <v>86911844.789999992</v>
      </c>
      <c r="CU8" s="8">
        <f t="shared" si="59"/>
        <v>10348400.639999999</v>
      </c>
      <c r="CV8" s="8">
        <f t="shared" ref="CV8:CW8" si="60">CV6-CV7</f>
        <v>20361155.379999999</v>
      </c>
      <c r="CW8" s="8">
        <f t="shared" si="60"/>
        <v>47572586.039999999</v>
      </c>
      <c r="CX8" s="8">
        <f t="shared" ref="CX8:CY8" si="61">CX6-CX7</f>
        <v>8479545.5700000003</v>
      </c>
      <c r="CY8" s="8">
        <f t="shared" si="61"/>
        <v>18498253.109999999</v>
      </c>
      <c r="CZ8" s="8">
        <f t="shared" ref="CZ8:DA8" si="62">CZ6-CZ7</f>
        <v>43302813.650000006</v>
      </c>
      <c r="DA8" s="8">
        <f t="shared" si="62"/>
        <v>13977460.26</v>
      </c>
      <c r="DB8" s="8">
        <f t="shared" ref="DB8:DC8" si="63">DB6-DB7</f>
        <v>33049973.630000003</v>
      </c>
      <c r="DC8" s="8">
        <f t="shared" si="63"/>
        <v>51695546.959999993</v>
      </c>
      <c r="DD8" s="8">
        <f t="shared" ref="DD8:DE8" si="64">DD6-DD7</f>
        <v>24349122.590000004</v>
      </c>
      <c r="DE8" s="8">
        <f t="shared" si="64"/>
        <v>33044695.839999996</v>
      </c>
      <c r="DF8" s="8">
        <f t="shared" ref="DF8" si="65">DF6-DF7</f>
        <v>87220465.38000001</v>
      </c>
    </row>
    <row r="10" spans="2:110">
      <c r="C10" s="9"/>
    </row>
    <row r="11" spans="2:110">
      <c r="J11" s="9"/>
    </row>
    <row r="12" spans="2:110">
      <c r="B12" s="5" t="s">
        <v>33</v>
      </c>
    </row>
    <row r="13" spans="2:110">
      <c r="B13" s="5" t="s">
        <v>28</v>
      </c>
      <c r="C13" s="5">
        <v>5676622.3499999996</v>
      </c>
      <c r="D13" s="5">
        <v>11789194.539999999</v>
      </c>
      <c r="E13" s="5">
        <v>51980266.019999996</v>
      </c>
      <c r="F13" s="5">
        <v>7298743.2199999997</v>
      </c>
      <c r="G13" s="5">
        <v>37143605.909999996</v>
      </c>
      <c r="H13" s="5">
        <v>56309809.730000004</v>
      </c>
      <c r="I13" s="5">
        <v>10513426.299999999</v>
      </c>
      <c r="J13" s="5">
        <v>13612303.26</v>
      </c>
      <c r="K13" s="5">
        <v>41185606.920000002</v>
      </c>
      <c r="L13" s="5">
        <v>9079572.8000000007</v>
      </c>
      <c r="M13" s="5">
        <v>22318596.460000001</v>
      </c>
      <c r="N13" s="5">
        <v>75433100.270000011</v>
      </c>
      <c r="O13" s="5">
        <v>8364445.2599999998</v>
      </c>
      <c r="P13" s="5">
        <v>21320936.490000002</v>
      </c>
      <c r="Q13" s="5">
        <v>45179753.770000003</v>
      </c>
      <c r="R13" s="5">
        <v>9911853.0600000005</v>
      </c>
      <c r="S13" s="5">
        <v>21474255</v>
      </c>
      <c r="T13" s="5">
        <v>56084541.290000007</v>
      </c>
      <c r="U13" s="5">
        <v>11561194.01</v>
      </c>
      <c r="V13" s="5">
        <v>15987898.93</v>
      </c>
      <c r="W13" s="5">
        <v>47311072.049999997</v>
      </c>
      <c r="X13" s="5">
        <v>22571069.879999999</v>
      </c>
      <c r="Y13" s="5">
        <v>24004706.379999999</v>
      </c>
      <c r="Z13" s="5">
        <v>93737468.530000001</v>
      </c>
      <c r="AA13" s="5">
        <v>10048753.4</v>
      </c>
      <c r="AB13" s="5">
        <v>11328310.810000001</v>
      </c>
      <c r="AC13" s="5">
        <v>68344611.700000003</v>
      </c>
      <c r="AD13" s="5">
        <v>11827002.890000001</v>
      </c>
      <c r="AE13" s="5">
        <v>25211087.129999999</v>
      </c>
      <c r="AF13" s="5">
        <v>64404446.960000001</v>
      </c>
      <c r="AG13" s="5">
        <v>14117807.369999999</v>
      </c>
      <c r="AH13" s="5">
        <v>24305344.449999999</v>
      </c>
      <c r="AI13" s="5">
        <v>64195085.539999999</v>
      </c>
      <c r="AJ13" s="5">
        <v>8298532.9499999993</v>
      </c>
      <c r="AK13" s="5">
        <v>31276710.939999998</v>
      </c>
      <c r="AL13" s="5">
        <v>126693908.32000001</v>
      </c>
      <c r="AM13" s="5">
        <v>8596085.6100000013</v>
      </c>
      <c r="AN13" s="5">
        <v>11252087.460000001</v>
      </c>
      <c r="AO13" s="5">
        <v>22438481.349999998</v>
      </c>
      <c r="AP13" s="5">
        <v>1367165</v>
      </c>
      <c r="AQ13" s="5">
        <v>10407752.199999999</v>
      </c>
      <c r="AR13" s="5">
        <v>45430618.799999997</v>
      </c>
      <c r="AS13" s="5">
        <v>6508584.7999999998</v>
      </c>
      <c r="AT13" s="5">
        <v>13146440.880000001</v>
      </c>
      <c r="AU13" s="5">
        <v>32252240.41</v>
      </c>
      <c r="AV13" s="5">
        <v>11936088.68</v>
      </c>
      <c r="AW13" s="5">
        <v>10369035</v>
      </c>
      <c r="AX13" s="5">
        <v>43185998.799999997</v>
      </c>
      <c r="AY13" s="5">
        <v>10801777.060000001</v>
      </c>
      <c r="AZ13" s="5">
        <v>14552203</v>
      </c>
      <c r="BA13" s="5">
        <v>28187530.649999999</v>
      </c>
      <c r="BB13" s="5">
        <v>14923400.66</v>
      </c>
      <c r="BC13" s="5">
        <v>21342926.359999999</v>
      </c>
      <c r="BD13" s="5">
        <v>42803839.960000001</v>
      </c>
      <c r="BE13" s="5">
        <v>20828703.490000002</v>
      </c>
      <c r="BF13" s="5">
        <v>19216483.140000001</v>
      </c>
      <c r="BG13" s="5">
        <v>35952525.699999996</v>
      </c>
      <c r="BH13" s="5">
        <v>11024401</v>
      </c>
      <c r="BI13" s="5">
        <v>23297452.739999998</v>
      </c>
      <c r="BJ13" s="5">
        <v>71069428.700000003</v>
      </c>
      <c r="BK13" s="5">
        <v>25711551.460000001</v>
      </c>
      <c r="BL13" s="5">
        <v>23526569.100000001</v>
      </c>
      <c r="BM13" s="5">
        <v>56009431.979999997</v>
      </c>
      <c r="BN13" s="5">
        <v>15742284.310000001</v>
      </c>
      <c r="BO13" s="5">
        <v>20111566.199999999</v>
      </c>
      <c r="BP13" s="5">
        <v>66484678.690000005</v>
      </c>
      <c r="BQ13" s="5">
        <v>15229717.459999999</v>
      </c>
      <c r="BR13" s="5">
        <v>35254581.799999997</v>
      </c>
      <c r="BS13" s="5">
        <v>81935413</v>
      </c>
      <c r="BT13" s="5">
        <v>20900449.93</v>
      </c>
      <c r="BU13" s="5">
        <v>43845537.270000003</v>
      </c>
      <c r="BV13" s="5">
        <v>83947656.370000005</v>
      </c>
      <c r="BW13" s="5">
        <v>23847072.780000001</v>
      </c>
      <c r="BX13" s="5">
        <v>35326768.409999996</v>
      </c>
      <c r="BY13" s="5">
        <v>81128520.940000013</v>
      </c>
      <c r="BZ13" s="5">
        <v>29904052.690000001</v>
      </c>
      <c r="CA13" s="5">
        <v>50811050.770000003</v>
      </c>
      <c r="CB13" s="5">
        <v>60928226.899999999</v>
      </c>
      <c r="CC13" s="5">
        <v>25758904.879999999</v>
      </c>
      <c r="CD13" s="5">
        <v>49592978.969999999</v>
      </c>
      <c r="CE13" s="5">
        <v>59732475.120000005</v>
      </c>
      <c r="CF13" s="18">
        <v>30247370.629999999</v>
      </c>
      <c r="CG13" s="5">
        <v>43248262.779999994</v>
      </c>
      <c r="CH13" s="5">
        <v>68726650.030000001</v>
      </c>
      <c r="CI13" s="5">
        <v>16507839.529999999</v>
      </c>
      <c r="CJ13" s="5">
        <v>28887225.809999999</v>
      </c>
      <c r="CK13" s="5">
        <v>69296917.159999996</v>
      </c>
      <c r="CL13" s="5">
        <v>19630060.760000002</v>
      </c>
      <c r="CM13" s="5">
        <v>25424096.18</v>
      </c>
      <c r="CN13" s="5">
        <v>72487666.5</v>
      </c>
      <c r="CO13" s="5">
        <v>17828404.370000001</v>
      </c>
      <c r="CP13" s="5">
        <v>33203365.469999999</v>
      </c>
      <c r="CQ13" s="5">
        <v>68146868.069999993</v>
      </c>
      <c r="CR13" s="5">
        <v>24321512.41</v>
      </c>
      <c r="CS13" s="5">
        <v>35349291.630000003</v>
      </c>
      <c r="CT13" s="5">
        <v>121514611.42999999</v>
      </c>
      <c r="CU13" s="5">
        <v>13883295.869999999</v>
      </c>
      <c r="CV13" s="5">
        <v>28680188.699999999</v>
      </c>
      <c r="CW13" s="5">
        <v>65054350.189999998</v>
      </c>
      <c r="CX13" s="5">
        <v>12367334.73</v>
      </c>
      <c r="CY13" s="5">
        <v>25066078.210000001</v>
      </c>
      <c r="CZ13" s="5">
        <v>61550980.32</v>
      </c>
      <c r="DA13" s="5">
        <v>18987055.039999999</v>
      </c>
      <c r="DB13" s="5">
        <v>42060688.770000003</v>
      </c>
      <c r="DC13" s="5">
        <v>69495845.959999993</v>
      </c>
      <c r="DD13" s="5">
        <v>32301092.829999998</v>
      </c>
      <c r="DE13" s="5">
        <v>42396059.239999995</v>
      </c>
      <c r="DF13" s="5">
        <v>110164029.27000001</v>
      </c>
    </row>
    <row r="14" spans="2:110">
      <c r="B14" s="5" t="s">
        <v>29</v>
      </c>
      <c r="C14" s="5">
        <v>1788581.2299999997</v>
      </c>
      <c r="D14" s="5">
        <v>2856430.6399999997</v>
      </c>
      <c r="E14" s="5">
        <v>14605117.550000001</v>
      </c>
      <c r="F14" s="5">
        <v>1551831.1999999997</v>
      </c>
      <c r="G14" s="5">
        <v>11233139.389999999</v>
      </c>
      <c r="H14" s="5">
        <v>15795727.970000001</v>
      </c>
      <c r="I14" s="5">
        <v>2418393.6799999997</v>
      </c>
      <c r="J14" s="5">
        <v>4193558.2300000004</v>
      </c>
      <c r="K14" s="5">
        <v>13049645.300000001</v>
      </c>
      <c r="L14" s="5">
        <v>4511387.99</v>
      </c>
      <c r="M14" s="5">
        <v>5866465.9299999997</v>
      </c>
      <c r="N14" s="5">
        <v>25021588.690000001</v>
      </c>
      <c r="O14" s="5">
        <v>2855374.19</v>
      </c>
      <c r="P14" s="5">
        <v>9613566.8000000026</v>
      </c>
      <c r="Q14" s="5">
        <v>13104112.579999998</v>
      </c>
      <c r="R14" s="5">
        <v>3645406.85</v>
      </c>
      <c r="S14" s="5">
        <v>4860663.3</v>
      </c>
      <c r="T14" s="5">
        <v>17475256.189999998</v>
      </c>
      <c r="U14" s="5">
        <v>2980399.2199999997</v>
      </c>
      <c r="V14" s="5">
        <v>5124560.4799999995</v>
      </c>
      <c r="W14" s="5">
        <v>13392255.949999999</v>
      </c>
      <c r="X14" s="5">
        <v>7549982.0500000007</v>
      </c>
      <c r="Y14" s="5">
        <v>6990819.0100000007</v>
      </c>
      <c r="Z14" s="5">
        <v>31280529.890000004</v>
      </c>
      <c r="AA14" s="5">
        <v>3173399.1000000006</v>
      </c>
      <c r="AB14" s="5">
        <v>3863831.4099999997</v>
      </c>
      <c r="AC14" s="5">
        <v>19871075.240000002</v>
      </c>
      <c r="AD14" s="5">
        <v>2809176.58</v>
      </c>
      <c r="AE14" s="5">
        <v>7664037.0800000001</v>
      </c>
      <c r="AF14" s="5">
        <v>18669336.649999999</v>
      </c>
      <c r="AG14" s="5">
        <v>3985348.8100000005</v>
      </c>
      <c r="AH14" s="5">
        <v>7156847.4500000002</v>
      </c>
      <c r="AI14" s="5">
        <v>18319094.829999998</v>
      </c>
      <c r="AJ14" s="5">
        <v>2182779.88</v>
      </c>
      <c r="AK14" s="5">
        <v>8783838.7799999993</v>
      </c>
      <c r="AL14" s="5">
        <v>45364891.629999995</v>
      </c>
      <c r="AM14" s="5">
        <v>2459665.4899999993</v>
      </c>
      <c r="AN14" s="5">
        <v>2979846.2800000003</v>
      </c>
      <c r="AO14" s="5">
        <v>7247207.9500000002</v>
      </c>
      <c r="AP14" s="5">
        <v>164808.72</v>
      </c>
      <c r="AQ14" s="5">
        <v>2405896.5099999998</v>
      </c>
      <c r="AR14" s="5">
        <v>14791818.4</v>
      </c>
      <c r="AS14" s="5">
        <v>1620266.62</v>
      </c>
      <c r="AT14" s="5">
        <v>3748034.4699999997</v>
      </c>
      <c r="AU14" s="5">
        <v>9684952.2299999986</v>
      </c>
      <c r="AV14" s="5">
        <v>3125876.1199999996</v>
      </c>
      <c r="AW14" s="5">
        <v>2655716.98</v>
      </c>
      <c r="AX14" s="5">
        <v>12884124.779999999</v>
      </c>
      <c r="AY14" s="5">
        <v>2839786.25</v>
      </c>
      <c r="AZ14" s="5">
        <v>3613317.8600000003</v>
      </c>
      <c r="BA14" s="5">
        <v>6791751.1899999995</v>
      </c>
      <c r="BB14" s="5">
        <v>4147515.2699999996</v>
      </c>
      <c r="BC14" s="5">
        <v>6823062.3399999999</v>
      </c>
      <c r="BD14" s="5">
        <v>10837824.969999999</v>
      </c>
      <c r="BE14" s="5">
        <v>5550111.8700000001</v>
      </c>
      <c r="BF14" s="5">
        <v>4844530.2399999993</v>
      </c>
      <c r="BG14" s="5">
        <v>10334253.309999999</v>
      </c>
      <c r="BH14" s="5">
        <v>2596722.1800000002</v>
      </c>
      <c r="BI14" s="5">
        <v>5758677.6800000006</v>
      </c>
      <c r="BJ14" s="5">
        <v>19038608.800000001</v>
      </c>
      <c r="BK14" s="5">
        <v>6111906.8999999994</v>
      </c>
      <c r="BL14" s="5">
        <v>5244932.8400000008</v>
      </c>
      <c r="BM14" s="5">
        <v>15056783.350000001</v>
      </c>
      <c r="BN14" s="5">
        <v>3888036.71</v>
      </c>
      <c r="BO14" s="5">
        <v>4903536.49</v>
      </c>
      <c r="BP14" s="5">
        <v>17014171.919999998</v>
      </c>
      <c r="BQ14" s="5">
        <v>3386555.66</v>
      </c>
      <c r="BR14" s="5">
        <v>7255400.3600000003</v>
      </c>
      <c r="BS14" s="5">
        <v>19659547.739999998</v>
      </c>
      <c r="BT14" s="5">
        <v>4575956.47</v>
      </c>
      <c r="BU14" s="5">
        <v>7957090.2300000004</v>
      </c>
      <c r="BV14" s="5">
        <v>20252006.200000003</v>
      </c>
      <c r="BW14" s="5">
        <v>4493277.41</v>
      </c>
      <c r="BX14" s="5">
        <v>9271269.9599999972</v>
      </c>
      <c r="BY14" s="5">
        <v>21770871.150000002</v>
      </c>
      <c r="BZ14" s="5">
        <v>8237133.9999999991</v>
      </c>
      <c r="CA14" s="5">
        <v>12875098.440000001</v>
      </c>
      <c r="CB14" s="5">
        <v>15018509.73</v>
      </c>
      <c r="CC14" s="5">
        <v>6243649.9499999993</v>
      </c>
      <c r="CD14" s="5">
        <v>12477689.920000002</v>
      </c>
      <c r="CE14" s="5">
        <v>14878117.900000002</v>
      </c>
      <c r="CF14" s="18">
        <v>6394099.3600000003</v>
      </c>
      <c r="CG14" s="5">
        <v>10112081.59</v>
      </c>
      <c r="CH14" s="5">
        <v>16321664.83</v>
      </c>
      <c r="CI14" s="5">
        <v>4652676.3599999994</v>
      </c>
      <c r="CJ14" s="5">
        <v>6883303.6200000001</v>
      </c>
      <c r="CK14" s="5">
        <v>17550994.010000002</v>
      </c>
      <c r="CL14" s="5">
        <v>5094493.959999999</v>
      </c>
      <c r="CM14" s="5">
        <v>7460820.8300000001</v>
      </c>
      <c r="CN14" s="5">
        <v>21001170.280000001</v>
      </c>
      <c r="CO14" s="5">
        <v>3127999.21</v>
      </c>
      <c r="CP14" s="5">
        <v>6293990.3399999989</v>
      </c>
      <c r="CQ14" s="5">
        <v>15999741.67</v>
      </c>
      <c r="CR14" s="5">
        <v>6059769.6099999994</v>
      </c>
      <c r="CS14" s="5">
        <v>7728167.4199999999</v>
      </c>
      <c r="CT14" s="5">
        <v>34602766.640000008</v>
      </c>
      <c r="CU14" s="5">
        <v>3534895.2300000004</v>
      </c>
      <c r="CV14" s="5">
        <v>8319033.3200000012</v>
      </c>
      <c r="CW14" s="5">
        <v>17481764.149999999</v>
      </c>
      <c r="CX14" s="5">
        <v>3887789.1600000006</v>
      </c>
      <c r="CY14" s="5">
        <v>6567825.0999999996</v>
      </c>
      <c r="CZ14" s="5">
        <v>18248166.669999998</v>
      </c>
      <c r="DA14" s="5">
        <v>5009594.7799999993</v>
      </c>
      <c r="DB14" s="5">
        <v>9010715.1399999987</v>
      </c>
      <c r="DC14" s="5">
        <v>17800299</v>
      </c>
      <c r="DD14" s="5">
        <v>7951970.2400000002</v>
      </c>
      <c r="DE14" s="5">
        <v>9351362.4000000004</v>
      </c>
      <c r="DF14" s="5">
        <v>22943561.890000004</v>
      </c>
    </row>
    <row r="15" spans="2:110">
      <c r="B15" s="5" t="s">
        <v>30</v>
      </c>
      <c r="C15" s="5">
        <v>3888041.12</v>
      </c>
      <c r="D15" s="5">
        <v>8932763.8999999985</v>
      </c>
      <c r="E15" s="5">
        <v>37375148.469999999</v>
      </c>
      <c r="F15" s="5">
        <v>5746912.0199999996</v>
      </c>
      <c r="G15" s="5">
        <v>25910466.519999996</v>
      </c>
      <c r="H15" s="5">
        <v>40514081.760000005</v>
      </c>
      <c r="I15" s="5">
        <v>8095032.6199999992</v>
      </c>
      <c r="J15" s="5">
        <v>9418745.0299999993</v>
      </c>
      <c r="K15" s="5">
        <v>28135961.620000001</v>
      </c>
      <c r="L15" s="5">
        <v>4568184.8100000005</v>
      </c>
      <c r="M15" s="5">
        <v>16452130.530000001</v>
      </c>
      <c r="N15" s="5">
        <v>50411511.580000013</v>
      </c>
      <c r="O15" s="5">
        <v>5509071.0700000003</v>
      </c>
      <c r="P15" s="5">
        <v>11707369.689999999</v>
      </c>
      <c r="Q15" s="5">
        <v>32075641.190000005</v>
      </c>
      <c r="R15" s="5">
        <v>6266446.2100000009</v>
      </c>
      <c r="S15" s="5">
        <v>16613591.699999999</v>
      </c>
      <c r="T15" s="5">
        <v>38609285.100000009</v>
      </c>
      <c r="U15" s="5">
        <v>8580794.7899999991</v>
      </c>
      <c r="V15" s="5">
        <v>10863338.449999999</v>
      </c>
      <c r="W15" s="5">
        <v>33918816.099999994</v>
      </c>
      <c r="X15" s="5">
        <v>15021087.829999998</v>
      </c>
      <c r="Y15" s="5">
        <v>17013887.369999997</v>
      </c>
      <c r="Z15" s="5">
        <v>62456938.640000001</v>
      </c>
      <c r="AA15" s="5">
        <v>6875354.2999999998</v>
      </c>
      <c r="AB15" s="5">
        <v>7464479.4000000004</v>
      </c>
      <c r="AC15" s="5">
        <v>48473536.460000001</v>
      </c>
      <c r="AD15" s="5">
        <v>9017826.3100000005</v>
      </c>
      <c r="AE15" s="5">
        <v>17547050.049999997</v>
      </c>
      <c r="AF15" s="5">
        <v>45735110.310000002</v>
      </c>
      <c r="AG15" s="5">
        <v>10132458.559999999</v>
      </c>
      <c r="AH15" s="5">
        <v>17148497</v>
      </c>
      <c r="AI15" s="5">
        <v>45875990.710000001</v>
      </c>
      <c r="AJ15" s="5">
        <v>6115753.0699999994</v>
      </c>
      <c r="AK15" s="5">
        <v>22492872.159999996</v>
      </c>
      <c r="AL15" s="5">
        <v>81329016.690000013</v>
      </c>
      <c r="AM15" s="5">
        <v>6136420.120000002</v>
      </c>
      <c r="AN15" s="5">
        <v>8272241.1800000006</v>
      </c>
      <c r="AO15" s="5">
        <v>15191273.399999999</v>
      </c>
      <c r="AP15" s="5">
        <v>1202356.28</v>
      </c>
      <c r="AQ15" s="5">
        <v>8001855.6899999995</v>
      </c>
      <c r="AR15" s="5">
        <v>30638800.399999999</v>
      </c>
      <c r="AS15" s="5">
        <v>4888318.18</v>
      </c>
      <c r="AT15" s="5">
        <v>9398406.4100000001</v>
      </c>
      <c r="AU15" s="5">
        <v>22567288.18</v>
      </c>
      <c r="AV15" s="5">
        <v>8810212.5600000005</v>
      </c>
      <c r="AW15" s="5">
        <v>7713318.0199999996</v>
      </c>
      <c r="AX15" s="5">
        <v>30301874.019999996</v>
      </c>
      <c r="AY15" s="5">
        <v>7961990.8100000005</v>
      </c>
      <c r="AZ15" s="5">
        <v>10938885.140000001</v>
      </c>
      <c r="BA15" s="5">
        <v>21395779.460000001</v>
      </c>
      <c r="BB15" s="5">
        <v>10775885.390000001</v>
      </c>
      <c r="BC15" s="5">
        <v>14519864.02</v>
      </c>
      <c r="BD15" s="5">
        <v>31966014.990000002</v>
      </c>
      <c r="BE15" s="5">
        <v>15278591.620000001</v>
      </c>
      <c r="BF15" s="5">
        <v>14371952.900000002</v>
      </c>
      <c r="BG15" s="5">
        <v>25618272.389999997</v>
      </c>
      <c r="BH15" s="5">
        <v>8427678.8200000003</v>
      </c>
      <c r="BI15" s="5">
        <v>17538775.059999999</v>
      </c>
      <c r="BJ15" s="5">
        <v>52030819.900000006</v>
      </c>
      <c r="BK15" s="5">
        <v>19599644.560000002</v>
      </c>
      <c r="BL15" s="5">
        <v>18281636.260000002</v>
      </c>
      <c r="BM15" s="5">
        <v>40952648.629999995</v>
      </c>
      <c r="BN15" s="5">
        <v>11854247.600000001</v>
      </c>
      <c r="BO15" s="5">
        <v>15208029.709999999</v>
      </c>
      <c r="BP15" s="5">
        <v>49470506.770000011</v>
      </c>
      <c r="BQ15" s="5">
        <v>11843161.799999999</v>
      </c>
      <c r="BR15" s="5">
        <v>27999181.439999998</v>
      </c>
      <c r="BS15" s="5">
        <v>62275865.260000005</v>
      </c>
      <c r="BT15" s="5">
        <v>16324493.460000001</v>
      </c>
      <c r="BU15" s="5">
        <v>35888447.040000007</v>
      </c>
      <c r="BV15" s="5">
        <v>63695650.170000002</v>
      </c>
      <c r="BW15" s="5">
        <v>19353795.370000001</v>
      </c>
      <c r="BX15" s="5">
        <v>26055498.449999999</v>
      </c>
      <c r="BY15" s="5">
        <v>59357649.790000007</v>
      </c>
      <c r="BZ15" s="5">
        <v>21666918.690000001</v>
      </c>
      <c r="CA15" s="5">
        <v>37935952.329999998</v>
      </c>
      <c r="CB15" s="5">
        <v>45909717.170000002</v>
      </c>
      <c r="CC15" s="5">
        <v>19515254.93</v>
      </c>
      <c r="CD15" s="5">
        <v>37115289.049999997</v>
      </c>
      <c r="CE15" s="5">
        <v>44854357.219999999</v>
      </c>
      <c r="CF15" s="18">
        <v>23853271.27</v>
      </c>
      <c r="CG15" s="5">
        <v>33136181.189999994</v>
      </c>
      <c r="CH15" s="5">
        <v>52404985.200000003</v>
      </c>
      <c r="CI15" s="5">
        <v>11855163.17</v>
      </c>
      <c r="CJ15" s="5">
        <v>22003922.189999998</v>
      </c>
      <c r="CK15" s="5">
        <v>51745923.149999991</v>
      </c>
      <c r="CL15" s="5">
        <v>14535566.800000003</v>
      </c>
      <c r="CM15" s="5">
        <v>17963275.350000001</v>
      </c>
      <c r="CN15" s="5">
        <v>51486496.219999999</v>
      </c>
      <c r="CO15" s="5">
        <v>14700405.16</v>
      </c>
      <c r="CP15" s="5">
        <v>26909375.129999999</v>
      </c>
      <c r="CQ15" s="5">
        <v>52147126.399999991</v>
      </c>
      <c r="CR15" s="5">
        <v>18261742.800000001</v>
      </c>
      <c r="CS15" s="5">
        <v>27621124.210000001</v>
      </c>
      <c r="CT15" s="5">
        <v>86911844.789999992</v>
      </c>
      <c r="CU15" s="5">
        <v>10348400.639999999</v>
      </c>
      <c r="CV15" s="5">
        <v>20361155.379999999</v>
      </c>
      <c r="CW15" s="5">
        <v>47572586.039999999</v>
      </c>
      <c r="CX15" s="5">
        <v>8479545.5700000003</v>
      </c>
      <c r="CY15" s="5">
        <v>18498253.109999999</v>
      </c>
      <c r="CZ15" s="5">
        <v>43302813.650000006</v>
      </c>
      <c r="DA15" s="5">
        <v>13977460.26</v>
      </c>
      <c r="DB15" s="5">
        <v>33049973.630000003</v>
      </c>
      <c r="DC15" s="5">
        <v>51695546.959999993</v>
      </c>
      <c r="DD15" s="5">
        <v>24349122.59</v>
      </c>
      <c r="DE15" s="5">
        <v>33044696.839999996</v>
      </c>
      <c r="DF15" s="5">
        <v>87220467.38000001</v>
      </c>
    </row>
    <row r="16" spans="2:110">
      <c r="B16" s="5" t="s">
        <v>31</v>
      </c>
      <c r="C16" s="5">
        <v>1878264.27</v>
      </c>
      <c r="D16" s="5">
        <v>4016685.15</v>
      </c>
      <c r="E16" s="5">
        <v>18344092.66</v>
      </c>
      <c r="F16" s="5">
        <v>2777695.89</v>
      </c>
      <c r="G16" s="5">
        <v>11819915.710000001</v>
      </c>
      <c r="H16" s="5">
        <v>22433121.120000001</v>
      </c>
      <c r="I16" s="5">
        <v>1252562.3999999999</v>
      </c>
      <c r="J16" s="5">
        <v>3285636.08</v>
      </c>
      <c r="K16" s="5">
        <v>14139044.33</v>
      </c>
      <c r="L16" s="5">
        <v>2969694.62</v>
      </c>
      <c r="M16" s="5">
        <v>8475910.1600000001</v>
      </c>
      <c r="N16" s="5">
        <v>27835191.57</v>
      </c>
      <c r="O16" s="5">
        <v>3316048.07</v>
      </c>
      <c r="P16" s="5">
        <v>8066643.3200000003</v>
      </c>
      <c r="Q16" s="5">
        <v>16278132.34</v>
      </c>
      <c r="R16" s="5">
        <v>3361642.97</v>
      </c>
      <c r="S16" s="5">
        <v>7327856.8799999999</v>
      </c>
      <c r="T16" s="5">
        <v>20028282.300000001</v>
      </c>
      <c r="U16" s="5">
        <v>4650028.8099999996</v>
      </c>
      <c r="V16" s="5">
        <v>5436703.7599999998</v>
      </c>
      <c r="W16" s="5">
        <v>15683121.43</v>
      </c>
      <c r="X16" s="5">
        <v>8499638.25</v>
      </c>
      <c r="Y16" s="5">
        <v>8728681.2200000007</v>
      </c>
      <c r="Z16" s="5">
        <v>37720244.450000003</v>
      </c>
      <c r="AA16" s="5">
        <v>3045986.36</v>
      </c>
      <c r="AB16" s="5">
        <v>4021982.82</v>
      </c>
      <c r="AC16" s="5">
        <v>22147519.859999999</v>
      </c>
      <c r="AD16" s="5">
        <v>3906013.16</v>
      </c>
      <c r="AE16" s="5">
        <v>8496589.4199999999</v>
      </c>
      <c r="AF16" s="5">
        <v>20025564.969999999</v>
      </c>
      <c r="AG16" s="5">
        <v>4490134.21</v>
      </c>
      <c r="AH16" s="5">
        <v>7672951.0700000003</v>
      </c>
      <c r="AI16" s="5">
        <v>20590117.09</v>
      </c>
      <c r="AJ16" s="5">
        <v>2971043.22</v>
      </c>
      <c r="AK16" s="5">
        <v>10145487.35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1</v>
      </c>
      <c r="BV16" s="5">
        <v>0</v>
      </c>
      <c r="BW16" s="5">
        <v>1</v>
      </c>
      <c r="BX16" s="5">
        <v>2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18">
        <v>0</v>
      </c>
      <c r="CG16" s="5">
        <v>0</v>
      </c>
      <c r="CH16" s="5">
        <v>1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1</v>
      </c>
      <c r="DF16" s="5">
        <v>2</v>
      </c>
    </row>
    <row r="17" spans="2:110">
      <c r="B17" s="5" t="s">
        <v>32</v>
      </c>
      <c r="C17" s="5">
        <v>2009776.85</v>
      </c>
      <c r="D17" s="5">
        <v>4916078.7499999981</v>
      </c>
      <c r="E17" s="5">
        <v>19031055.809999999</v>
      </c>
      <c r="F17" s="5">
        <v>2969216.1299999994</v>
      </c>
      <c r="G17" s="5">
        <v>14090550.809999995</v>
      </c>
      <c r="H17" s="5">
        <v>18080960.640000004</v>
      </c>
      <c r="I17" s="5">
        <v>6842470.2199999988</v>
      </c>
      <c r="J17" s="5">
        <v>6133108.9499999993</v>
      </c>
      <c r="K17" s="5">
        <v>13996917.290000001</v>
      </c>
      <c r="L17" s="5">
        <v>1598490.1900000004</v>
      </c>
      <c r="M17" s="5">
        <v>7976220.370000001</v>
      </c>
      <c r="N17" s="5">
        <v>22576320.010000013</v>
      </c>
      <c r="O17" s="5">
        <v>2193023.0000000005</v>
      </c>
      <c r="P17" s="5">
        <v>3640726.3699999992</v>
      </c>
      <c r="Q17" s="5">
        <v>15797508.850000005</v>
      </c>
      <c r="R17" s="5">
        <v>2904803.2400000007</v>
      </c>
      <c r="S17" s="5">
        <v>9285734.8200000003</v>
      </c>
      <c r="T17" s="5">
        <v>18581002.800000008</v>
      </c>
      <c r="U17" s="5">
        <v>3930765.9799999995</v>
      </c>
      <c r="V17" s="5">
        <v>5426634.6899999995</v>
      </c>
      <c r="W17" s="5">
        <v>18235694.669999994</v>
      </c>
      <c r="X17" s="5">
        <v>6521449.5799999982</v>
      </c>
      <c r="Y17" s="5">
        <v>8285206.1499999966</v>
      </c>
      <c r="Z17" s="5">
        <v>24736694.189999998</v>
      </c>
      <c r="AA17" s="5">
        <v>3829367.94</v>
      </c>
      <c r="AB17" s="5">
        <v>3442496.5800000005</v>
      </c>
      <c r="AC17" s="5">
        <v>26326016.600000001</v>
      </c>
      <c r="AD17" s="5">
        <v>5111813.1500000004</v>
      </c>
      <c r="AE17" s="5">
        <v>9050460.6299999971</v>
      </c>
      <c r="AF17" s="5">
        <v>25709545.340000004</v>
      </c>
      <c r="AG17" s="5">
        <v>5642324.3499999987</v>
      </c>
      <c r="AH17" s="5">
        <v>9475545.9299999997</v>
      </c>
      <c r="AI17" s="5">
        <v>25285873.620000001</v>
      </c>
      <c r="AJ17" s="5">
        <v>3144709.8499999992</v>
      </c>
      <c r="AK17" s="5">
        <v>12347384.809999997</v>
      </c>
      <c r="AL17" s="5">
        <v>81329016.690000013</v>
      </c>
      <c r="AM17" s="5">
        <v>6136420.120000002</v>
      </c>
      <c r="AN17" s="5">
        <v>8272241.1800000006</v>
      </c>
      <c r="AO17" s="5">
        <v>15191273.399999999</v>
      </c>
      <c r="AP17" s="5">
        <v>1202356.28</v>
      </c>
      <c r="AQ17" s="5">
        <v>8001855.6899999995</v>
      </c>
      <c r="AR17" s="5">
        <v>30638800.399999999</v>
      </c>
      <c r="AS17" s="5">
        <v>4888318.18</v>
      </c>
      <c r="AT17" s="5">
        <v>9398406.4100000001</v>
      </c>
      <c r="AU17" s="5">
        <v>22567288.18</v>
      </c>
      <c r="AV17" s="5">
        <v>8810212.5600000005</v>
      </c>
      <c r="AW17" s="5">
        <v>7713318.0199999996</v>
      </c>
      <c r="AX17" s="5">
        <v>30301874.019999996</v>
      </c>
      <c r="AY17" s="5">
        <v>7961990.8100000005</v>
      </c>
      <c r="AZ17" s="5">
        <v>10938885.140000001</v>
      </c>
      <c r="BA17" s="5">
        <v>21395779.460000001</v>
      </c>
      <c r="BB17" s="5">
        <v>10775885.390000001</v>
      </c>
      <c r="BC17" s="5">
        <v>14519864.02</v>
      </c>
      <c r="BD17" s="5">
        <v>31966014.990000002</v>
      </c>
      <c r="BE17" s="5">
        <v>15278591.620000001</v>
      </c>
      <c r="BF17" s="5">
        <v>14371952.900000002</v>
      </c>
      <c r="BG17" s="5">
        <v>25618272.389999997</v>
      </c>
      <c r="BH17" s="5">
        <v>8427678.8200000003</v>
      </c>
      <c r="BI17" s="5">
        <v>17538775.059999999</v>
      </c>
      <c r="BJ17" s="5">
        <v>52030819.900000006</v>
      </c>
      <c r="BK17" s="5">
        <v>19599644.560000002</v>
      </c>
      <c r="BL17" s="5">
        <v>18281636.260000002</v>
      </c>
      <c r="BM17" s="5">
        <v>40952648.629999995</v>
      </c>
      <c r="BN17" s="5">
        <v>11854247.600000001</v>
      </c>
      <c r="BO17" s="5">
        <v>15208029.709999999</v>
      </c>
      <c r="BP17" s="5">
        <v>49470506.770000011</v>
      </c>
      <c r="BQ17" s="5">
        <v>11843161.799999999</v>
      </c>
      <c r="BR17" s="5">
        <v>27999181.439999998</v>
      </c>
      <c r="BS17" s="5">
        <v>62275865.260000005</v>
      </c>
      <c r="BT17" s="5">
        <v>16324493.460000001</v>
      </c>
      <c r="BU17" s="5">
        <v>35888446.040000007</v>
      </c>
      <c r="BV17" s="5">
        <v>63695650.170000002</v>
      </c>
      <c r="BW17" s="5">
        <v>19353794.370000001</v>
      </c>
      <c r="BX17" s="5">
        <v>26055496.449999999</v>
      </c>
      <c r="BY17" s="5">
        <v>59357649.790000007</v>
      </c>
      <c r="BZ17" s="5">
        <v>21666918.690000001</v>
      </c>
      <c r="CA17" s="5">
        <v>37935952.329999998</v>
      </c>
      <c r="CB17" s="5">
        <v>45909717.170000002</v>
      </c>
      <c r="CC17" s="5">
        <v>19515254.93</v>
      </c>
      <c r="CD17" s="5">
        <v>37115289.049999997</v>
      </c>
      <c r="CE17" s="5">
        <v>44854357.219999999</v>
      </c>
      <c r="CF17" s="18">
        <v>23853271.27</v>
      </c>
      <c r="CG17" s="18">
        <v>33136181.189999994</v>
      </c>
      <c r="CH17" s="5">
        <v>52404984.200000003</v>
      </c>
      <c r="CI17" s="5">
        <v>11855163.17</v>
      </c>
      <c r="CJ17" s="5">
        <v>22003922.189999998</v>
      </c>
      <c r="CK17" s="5">
        <v>51745923.149999991</v>
      </c>
      <c r="CL17" s="5">
        <v>14535566.800000003</v>
      </c>
      <c r="CM17" s="5">
        <v>17963275.350000001</v>
      </c>
      <c r="CN17" s="5">
        <v>51486496.219999999</v>
      </c>
      <c r="CO17" s="5">
        <v>14700405.16</v>
      </c>
      <c r="CP17" s="5">
        <v>26909375.129999999</v>
      </c>
      <c r="CQ17" s="5">
        <v>52147126.399999991</v>
      </c>
      <c r="CR17" s="5">
        <v>18261742.800000001</v>
      </c>
      <c r="CS17" s="5">
        <v>27621124.210000001</v>
      </c>
      <c r="CT17" s="5">
        <v>86911844.789999992</v>
      </c>
      <c r="CU17" s="5">
        <v>10348400.639999999</v>
      </c>
      <c r="CV17" s="5">
        <v>20361155.379999999</v>
      </c>
      <c r="CW17" s="5">
        <v>47572586.039999999</v>
      </c>
      <c r="CX17" s="5">
        <v>8479545.5700000003</v>
      </c>
      <c r="CY17" s="5">
        <v>18498253.109999999</v>
      </c>
      <c r="CZ17" s="5">
        <v>43302813.650000006</v>
      </c>
      <c r="DA17" s="5">
        <v>13977460.26</v>
      </c>
      <c r="DB17" s="5">
        <v>33049973.630000003</v>
      </c>
      <c r="DC17" s="5">
        <v>51695546.959999993</v>
      </c>
      <c r="DD17" s="5">
        <v>24349122.59</v>
      </c>
      <c r="DE17" s="5">
        <v>33044695.839999996</v>
      </c>
      <c r="DF17" s="5">
        <v>87220465.38000001</v>
      </c>
    </row>
    <row r="18" spans="2:110">
      <c r="CF18" s="18"/>
    </row>
    <row r="19" spans="2:110">
      <c r="B19" s="10" t="s">
        <v>34</v>
      </c>
      <c r="C19" s="9">
        <f>C4-C13</f>
        <v>0</v>
      </c>
      <c r="D19" s="9">
        <f t="shared" ref="D19:AS23" si="66">D4-D13</f>
        <v>0</v>
      </c>
      <c r="E19" s="9">
        <f t="shared" si="66"/>
        <v>0</v>
      </c>
      <c r="F19" s="9">
        <f t="shared" si="66"/>
        <v>0</v>
      </c>
      <c r="G19" s="9">
        <f t="shared" si="66"/>
        <v>0</v>
      </c>
      <c r="H19" s="9">
        <f t="shared" si="66"/>
        <v>0</v>
      </c>
      <c r="I19" s="9">
        <f t="shared" si="66"/>
        <v>0</v>
      </c>
      <c r="J19" s="9">
        <f t="shared" si="66"/>
        <v>0</v>
      </c>
      <c r="K19" s="9">
        <f t="shared" si="66"/>
        <v>0</v>
      </c>
      <c r="L19" s="9">
        <f t="shared" si="66"/>
        <v>0</v>
      </c>
      <c r="M19" s="9">
        <f t="shared" si="66"/>
        <v>0</v>
      </c>
      <c r="N19" s="9">
        <f t="shared" si="66"/>
        <v>0</v>
      </c>
      <c r="O19" s="9">
        <f t="shared" si="66"/>
        <v>0</v>
      </c>
      <c r="P19" s="9">
        <f t="shared" si="66"/>
        <v>0</v>
      </c>
      <c r="Q19" s="9">
        <f t="shared" si="66"/>
        <v>0</v>
      </c>
      <c r="R19" s="9">
        <f t="shared" si="66"/>
        <v>0</v>
      </c>
      <c r="S19" s="9">
        <f t="shared" si="66"/>
        <v>0</v>
      </c>
      <c r="T19" s="9">
        <f t="shared" si="66"/>
        <v>0</v>
      </c>
      <c r="U19" s="9">
        <f t="shared" si="66"/>
        <v>0</v>
      </c>
      <c r="V19" s="9">
        <f t="shared" si="66"/>
        <v>0</v>
      </c>
      <c r="W19" s="9">
        <f t="shared" si="66"/>
        <v>0</v>
      </c>
      <c r="X19" s="9">
        <f t="shared" si="66"/>
        <v>0</v>
      </c>
      <c r="Y19" s="9">
        <f t="shared" si="66"/>
        <v>0</v>
      </c>
      <c r="Z19" s="9">
        <f t="shared" si="66"/>
        <v>0</v>
      </c>
      <c r="AA19" s="9">
        <f t="shared" si="66"/>
        <v>0</v>
      </c>
      <c r="AB19" s="9">
        <f t="shared" si="66"/>
        <v>0</v>
      </c>
      <c r="AC19" s="9">
        <f t="shared" si="66"/>
        <v>0</v>
      </c>
      <c r="AD19" s="9">
        <f t="shared" si="66"/>
        <v>0</v>
      </c>
      <c r="AE19" s="9">
        <f t="shared" si="66"/>
        <v>0</v>
      </c>
      <c r="AF19" s="9">
        <f t="shared" si="66"/>
        <v>0</v>
      </c>
      <c r="AG19" s="9">
        <f t="shared" si="66"/>
        <v>0</v>
      </c>
      <c r="AH19" s="9">
        <f t="shared" si="66"/>
        <v>0</v>
      </c>
      <c r="AI19" s="9">
        <f t="shared" si="66"/>
        <v>0</v>
      </c>
      <c r="AJ19" s="9">
        <f t="shared" si="66"/>
        <v>0</v>
      </c>
      <c r="AK19" s="9">
        <f t="shared" si="66"/>
        <v>0</v>
      </c>
      <c r="AL19" s="9">
        <f t="shared" si="66"/>
        <v>0</v>
      </c>
      <c r="AM19" s="9">
        <f t="shared" si="66"/>
        <v>0</v>
      </c>
      <c r="AN19" s="9">
        <f t="shared" si="66"/>
        <v>0</v>
      </c>
      <c r="AO19" s="9">
        <f t="shared" si="66"/>
        <v>0</v>
      </c>
      <c r="AP19" s="9">
        <f t="shared" si="66"/>
        <v>0</v>
      </c>
      <c r="AQ19" s="9">
        <f t="shared" si="66"/>
        <v>0</v>
      </c>
      <c r="AR19" s="9">
        <f t="shared" si="66"/>
        <v>0</v>
      </c>
      <c r="AS19" s="9">
        <f t="shared" si="66"/>
        <v>0</v>
      </c>
      <c r="AT19" s="9">
        <f t="shared" ref="AT19:AU19" si="67">AT4-AT13</f>
        <v>0</v>
      </c>
      <c r="AU19" s="9">
        <f t="shared" si="67"/>
        <v>0</v>
      </c>
      <c r="AV19" s="9">
        <f t="shared" ref="AV19:AW19" si="68">AV4-AV13</f>
        <v>0</v>
      </c>
      <c r="AW19" s="9">
        <f t="shared" si="68"/>
        <v>0</v>
      </c>
      <c r="AX19" s="9">
        <f t="shared" ref="AX19:AY19" si="69">AX4-AX13</f>
        <v>0</v>
      </c>
      <c r="AY19" s="9">
        <f t="shared" si="69"/>
        <v>0</v>
      </c>
      <c r="AZ19" s="9">
        <f t="shared" ref="AZ19:CD19" si="70">AZ4-AZ13</f>
        <v>0</v>
      </c>
      <c r="BA19" s="9">
        <f t="shared" si="70"/>
        <v>0</v>
      </c>
      <c r="BB19" s="9">
        <f t="shared" si="70"/>
        <v>0</v>
      </c>
      <c r="BC19" s="9">
        <f t="shared" si="70"/>
        <v>0</v>
      </c>
      <c r="BD19" s="9">
        <f t="shared" si="70"/>
        <v>0</v>
      </c>
      <c r="BE19" s="9">
        <f t="shared" si="70"/>
        <v>0</v>
      </c>
      <c r="BF19" s="9">
        <f t="shared" si="70"/>
        <v>0</v>
      </c>
      <c r="BG19" s="9">
        <f t="shared" si="70"/>
        <v>0</v>
      </c>
      <c r="BH19" s="9">
        <f t="shared" si="70"/>
        <v>0</v>
      </c>
      <c r="BI19" s="9">
        <f t="shared" si="70"/>
        <v>0</v>
      </c>
      <c r="BJ19" s="9">
        <f t="shared" si="70"/>
        <v>0</v>
      </c>
      <c r="BK19" s="9">
        <f t="shared" si="70"/>
        <v>0</v>
      </c>
      <c r="BL19" s="9">
        <f t="shared" si="70"/>
        <v>0</v>
      </c>
      <c r="BM19" s="9">
        <f t="shared" si="70"/>
        <v>0</v>
      </c>
      <c r="BN19" s="9">
        <f t="shared" si="70"/>
        <v>0</v>
      </c>
      <c r="BO19" s="9">
        <f t="shared" si="70"/>
        <v>0</v>
      </c>
      <c r="BP19" s="9">
        <f t="shared" si="70"/>
        <v>0</v>
      </c>
      <c r="BQ19" s="9">
        <f t="shared" si="70"/>
        <v>0</v>
      </c>
      <c r="BR19" s="9">
        <f t="shared" si="70"/>
        <v>0</v>
      </c>
      <c r="BS19" s="9">
        <f t="shared" si="70"/>
        <v>0</v>
      </c>
      <c r="BT19" s="9">
        <f t="shared" si="70"/>
        <v>0</v>
      </c>
      <c r="BU19" s="9">
        <f t="shared" si="70"/>
        <v>0</v>
      </c>
      <c r="BV19" s="9">
        <f t="shared" si="70"/>
        <v>0</v>
      </c>
      <c r="BW19" s="9">
        <f t="shared" si="70"/>
        <v>0</v>
      </c>
      <c r="BX19" s="9">
        <f t="shared" si="70"/>
        <v>0</v>
      </c>
      <c r="BY19" s="9">
        <f t="shared" si="70"/>
        <v>0</v>
      </c>
      <c r="BZ19" s="9">
        <f t="shared" si="70"/>
        <v>0</v>
      </c>
      <c r="CA19" s="9">
        <f t="shared" si="70"/>
        <v>0</v>
      </c>
      <c r="CB19" s="9">
        <f t="shared" si="70"/>
        <v>0</v>
      </c>
      <c r="CC19" s="9">
        <f t="shared" si="70"/>
        <v>0</v>
      </c>
      <c r="CD19" s="9">
        <f t="shared" si="70"/>
        <v>0</v>
      </c>
      <c r="CE19" s="9">
        <f t="shared" ref="CE19:CF19" si="71">CE4-CE13</f>
        <v>0</v>
      </c>
      <c r="CF19" s="9">
        <f t="shared" si="71"/>
        <v>0</v>
      </c>
      <c r="CG19" s="9">
        <f t="shared" ref="CG19:CH19" si="72">CG4-CG13</f>
        <v>0</v>
      </c>
      <c r="CH19" s="9">
        <f t="shared" si="72"/>
        <v>0</v>
      </c>
      <c r="CI19" s="9">
        <f t="shared" ref="CI19:CJ19" si="73">CI4-CI13</f>
        <v>0</v>
      </c>
      <c r="CJ19" s="9">
        <f t="shared" si="73"/>
        <v>0</v>
      </c>
      <c r="CK19" s="9">
        <f t="shared" ref="CK19:CL19" si="74">CK4-CK13</f>
        <v>0</v>
      </c>
      <c r="CL19" s="9">
        <f t="shared" si="74"/>
        <v>0</v>
      </c>
      <c r="CM19" s="9">
        <f t="shared" ref="CM19:CN19" si="75">CM4-CM13</f>
        <v>0</v>
      </c>
      <c r="CN19" s="9">
        <f t="shared" si="75"/>
        <v>0</v>
      </c>
      <c r="CO19" s="9">
        <f t="shared" ref="CO19:CP19" si="76">CO4-CO13</f>
        <v>0</v>
      </c>
      <c r="CP19" s="9">
        <f t="shared" si="76"/>
        <v>0</v>
      </c>
      <c r="CQ19" s="9">
        <f t="shared" ref="CQ19:CR19" si="77">CQ4-CQ13</f>
        <v>0</v>
      </c>
      <c r="CR19" s="9">
        <f t="shared" si="77"/>
        <v>0</v>
      </c>
      <c r="CS19" s="9">
        <f t="shared" ref="CS19:CU19" si="78">CS4-CS13</f>
        <v>0</v>
      </c>
      <c r="CT19" s="9">
        <f t="shared" si="78"/>
        <v>0</v>
      </c>
      <c r="CU19" s="9">
        <f t="shared" si="78"/>
        <v>0</v>
      </c>
      <c r="CV19" s="9">
        <f t="shared" ref="CV19:CW19" si="79">CV4-CV13</f>
        <v>0</v>
      </c>
      <c r="CW19" s="9">
        <f t="shared" si="79"/>
        <v>0</v>
      </c>
      <c r="CX19" s="9">
        <f t="shared" ref="CX19:CY19" si="80">CX4-CX13</f>
        <v>0</v>
      </c>
      <c r="CY19" s="9">
        <f t="shared" si="80"/>
        <v>0</v>
      </c>
      <c r="CZ19" s="9">
        <f t="shared" ref="CZ19:DA19" si="81">CZ4-CZ13</f>
        <v>0</v>
      </c>
      <c r="DA19" s="9">
        <f t="shared" si="81"/>
        <v>0</v>
      </c>
      <c r="DB19" s="9">
        <f t="shared" ref="DB19:DD19" si="82">DB4-DB13</f>
        <v>0</v>
      </c>
      <c r="DC19" s="9">
        <f t="shared" si="82"/>
        <v>0</v>
      </c>
      <c r="DD19" s="9">
        <f t="shared" si="82"/>
        <v>0</v>
      </c>
      <c r="DE19" s="9">
        <f t="shared" ref="DE19:DF19" si="83">DE4-DE13</f>
        <v>0</v>
      </c>
      <c r="DF19" s="9">
        <f t="shared" si="83"/>
        <v>0</v>
      </c>
    </row>
    <row r="20" spans="2:110">
      <c r="B20" s="10" t="s">
        <v>34</v>
      </c>
      <c r="C20" s="9">
        <f t="shared" ref="C20:R23" si="84">C5-C14</f>
        <v>-14958</v>
      </c>
      <c r="D20" s="9">
        <f t="shared" si="84"/>
        <v>0</v>
      </c>
      <c r="E20" s="9">
        <f t="shared" si="84"/>
        <v>-13448</v>
      </c>
      <c r="F20" s="9">
        <f t="shared" si="84"/>
        <v>14958</v>
      </c>
      <c r="G20" s="9">
        <f t="shared" si="84"/>
        <v>0</v>
      </c>
      <c r="H20" s="9">
        <f t="shared" si="84"/>
        <v>-10388</v>
      </c>
      <c r="I20" s="9">
        <f t="shared" si="84"/>
        <v>0</v>
      </c>
      <c r="J20" s="9">
        <f t="shared" si="84"/>
        <v>0</v>
      </c>
      <c r="K20" s="9">
        <f t="shared" si="84"/>
        <v>-8607</v>
      </c>
      <c r="L20" s="9">
        <f t="shared" si="84"/>
        <v>-601.49000000022352</v>
      </c>
      <c r="M20" s="9">
        <f t="shared" si="84"/>
        <v>0</v>
      </c>
      <c r="N20" s="9">
        <f t="shared" si="84"/>
        <v>-802.05000000447035</v>
      </c>
      <c r="O20" s="9">
        <f t="shared" si="84"/>
        <v>0</v>
      </c>
      <c r="P20" s="9">
        <f t="shared" si="84"/>
        <v>0</v>
      </c>
      <c r="Q20" s="9">
        <f t="shared" si="84"/>
        <v>0</v>
      </c>
      <c r="R20" s="9">
        <f t="shared" si="84"/>
        <v>0</v>
      </c>
      <c r="S20" s="9">
        <f t="shared" si="66"/>
        <v>0</v>
      </c>
      <c r="T20" s="9">
        <f t="shared" si="66"/>
        <v>0</v>
      </c>
      <c r="U20" s="9">
        <f t="shared" si="66"/>
        <v>0</v>
      </c>
      <c r="V20" s="9">
        <f t="shared" si="66"/>
        <v>0</v>
      </c>
      <c r="W20" s="9">
        <f t="shared" si="66"/>
        <v>0</v>
      </c>
      <c r="X20" s="9">
        <f t="shared" si="66"/>
        <v>0</v>
      </c>
      <c r="Y20" s="9">
        <f t="shared" si="66"/>
        <v>0</v>
      </c>
      <c r="Z20" s="9">
        <f t="shared" si="66"/>
        <v>0</v>
      </c>
      <c r="AA20" s="9">
        <f t="shared" si="66"/>
        <v>0</v>
      </c>
      <c r="AB20" s="9">
        <f t="shared" si="66"/>
        <v>0</v>
      </c>
      <c r="AC20" s="9">
        <f t="shared" si="66"/>
        <v>19974.699999999255</v>
      </c>
      <c r="AD20" s="9">
        <f t="shared" si="66"/>
        <v>-19974.700000000186</v>
      </c>
      <c r="AE20" s="9">
        <f t="shared" si="66"/>
        <v>0</v>
      </c>
      <c r="AF20" s="9">
        <f t="shared" si="66"/>
        <v>2493</v>
      </c>
      <c r="AG20" s="9">
        <f t="shared" si="66"/>
        <v>0</v>
      </c>
      <c r="AH20" s="9">
        <f t="shared" si="66"/>
        <v>0</v>
      </c>
      <c r="AI20" s="9">
        <f t="shared" si="66"/>
        <v>0</v>
      </c>
      <c r="AJ20" s="9">
        <f t="shared" si="66"/>
        <v>0</v>
      </c>
      <c r="AK20" s="9">
        <f t="shared" si="66"/>
        <v>0</v>
      </c>
      <c r="AL20" s="9">
        <f t="shared" si="66"/>
        <v>0</v>
      </c>
      <c r="AM20" s="9">
        <f t="shared" si="66"/>
        <v>0</v>
      </c>
      <c r="AN20" s="9">
        <f t="shared" si="66"/>
        <v>0</v>
      </c>
      <c r="AO20" s="9">
        <f t="shared" si="66"/>
        <v>0</v>
      </c>
      <c r="AP20" s="9">
        <f t="shared" si="66"/>
        <v>0</v>
      </c>
      <c r="AQ20" s="9">
        <f t="shared" si="66"/>
        <v>0</v>
      </c>
      <c r="AR20" s="9">
        <f t="shared" si="66"/>
        <v>0</v>
      </c>
      <c r="AS20" s="9">
        <f t="shared" si="66"/>
        <v>0</v>
      </c>
      <c r="AT20" s="9">
        <f t="shared" ref="AT20:AU20" si="85">AT5-AT14</f>
        <v>0</v>
      </c>
      <c r="AU20" s="9">
        <f t="shared" si="85"/>
        <v>0</v>
      </c>
      <c r="AV20" s="9">
        <f t="shared" ref="AV20:AW20" si="86">AV5-AV14</f>
        <v>-78043.299999999814</v>
      </c>
      <c r="AW20" s="9">
        <f t="shared" si="86"/>
        <v>17970</v>
      </c>
      <c r="AX20" s="9">
        <f t="shared" ref="AX20:AY20" si="87">AX5-AX14</f>
        <v>-56540.439999999478</v>
      </c>
      <c r="AY20" s="9">
        <f t="shared" si="87"/>
        <v>55668.419999999925</v>
      </c>
      <c r="AZ20" s="9">
        <f t="shared" ref="AZ20:CD20" si="88">AZ5-AZ14</f>
        <v>0</v>
      </c>
      <c r="BA20" s="9">
        <f t="shared" si="88"/>
        <v>0</v>
      </c>
      <c r="BB20" s="9">
        <f t="shared" si="88"/>
        <v>0</v>
      </c>
      <c r="BC20" s="9">
        <f t="shared" si="88"/>
        <v>0</v>
      </c>
      <c r="BD20" s="9">
        <f t="shared" si="88"/>
        <v>0</v>
      </c>
      <c r="BE20" s="9">
        <f t="shared" si="88"/>
        <v>0</v>
      </c>
      <c r="BF20" s="9">
        <f t="shared" si="88"/>
        <v>0</v>
      </c>
      <c r="BG20" s="9">
        <f t="shared" si="88"/>
        <v>0</v>
      </c>
      <c r="BH20" s="9">
        <f t="shared" si="88"/>
        <v>0</v>
      </c>
      <c r="BI20" s="9">
        <f t="shared" si="88"/>
        <v>0</v>
      </c>
      <c r="BJ20" s="9">
        <f t="shared" si="88"/>
        <v>0</v>
      </c>
      <c r="BK20" s="9">
        <f t="shared" si="88"/>
        <v>0</v>
      </c>
      <c r="BL20" s="9">
        <f t="shared" si="88"/>
        <v>0</v>
      </c>
      <c r="BM20" s="9">
        <f t="shared" si="88"/>
        <v>0</v>
      </c>
      <c r="BN20" s="9">
        <f t="shared" si="88"/>
        <v>0</v>
      </c>
      <c r="BO20" s="9">
        <f t="shared" si="88"/>
        <v>0</v>
      </c>
      <c r="BP20" s="9">
        <f t="shared" si="88"/>
        <v>0</v>
      </c>
      <c r="BQ20" s="9">
        <f t="shared" si="88"/>
        <v>0</v>
      </c>
      <c r="BR20" s="9">
        <f t="shared" si="88"/>
        <v>0</v>
      </c>
      <c r="BS20" s="9">
        <f t="shared" si="88"/>
        <v>0</v>
      </c>
      <c r="BT20" s="9">
        <f t="shared" si="88"/>
        <v>0</v>
      </c>
      <c r="BU20" s="9">
        <f t="shared" si="88"/>
        <v>0</v>
      </c>
      <c r="BV20" s="9">
        <f t="shared" si="88"/>
        <v>0</v>
      </c>
      <c r="BW20" s="9">
        <f t="shared" si="88"/>
        <v>0</v>
      </c>
      <c r="BX20" s="9">
        <f t="shared" si="88"/>
        <v>0</v>
      </c>
      <c r="BY20" s="9">
        <f t="shared" si="88"/>
        <v>0</v>
      </c>
      <c r="BZ20" s="9">
        <f t="shared" si="88"/>
        <v>0</v>
      </c>
      <c r="CA20" s="9">
        <f t="shared" si="88"/>
        <v>0</v>
      </c>
      <c r="CB20" s="9">
        <f t="shared" si="88"/>
        <v>0</v>
      </c>
      <c r="CC20" s="9">
        <f t="shared" si="88"/>
        <v>0</v>
      </c>
      <c r="CD20" s="9">
        <f t="shared" si="88"/>
        <v>0</v>
      </c>
      <c r="CE20" s="9">
        <f t="shared" ref="CE20:CF20" si="89">CE5-CE14</f>
        <v>0</v>
      </c>
      <c r="CF20" s="9">
        <f t="shared" si="89"/>
        <v>0</v>
      </c>
      <c r="CG20" s="9">
        <f t="shared" ref="CG20:CH20" si="90">CG5-CG14</f>
        <v>0</v>
      </c>
      <c r="CH20" s="9">
        <f t="shared" si="90"/>
        <v>0</v>
      </c>
      <c r="CI20" s="9">
        <f t="shared" ref="CI20:CJ20" si="91">CI5-CI14</f>
        <v>0</v>
      </c>
      <c r="CJ20" s="9">
        <f t="shared" si="91"/>
        <v>0</v>
      </c>
      <c r="CK20" s="9">
        <f t="shared" ref="CK20:CL20" si="92">CK5-CK14</f>
        <v>0</v>
      </c>
      <c r="CL20" s="9">
        <f t="shared" si="92"/>
        <v>0</v>
      </c>
      <c r="CM20" s="9">
        <f t="shared" ref="CM20:CN20" si="93">CM5-CM14</f>
        <v>0</v>
      </c>
      <c r="CN20" s="9">
        <f t="shared" si="93"/>
        <v>0</v>
      </c>
      <c r="CO20" s="9">
        <f t="shared" ref="CO20:CP20" si="94">CO5-CO14</f>
        <v>0</v>
      </c>
      <c r="CP20" s="9">
        <f t="shared" si="94"/>
        <v>0</v>
      </c>
      <c r="CQ20" s="9">
        <f t="shared" ref="CQ20:CR20" si="95">CQ5-CQ14</f>
        <v>0</v>
      </c>
      <c r="CR20" s="9">
        <f t="shared" si="95"/>
        <v>0</v>
      </c>
      <c r="CS20" s="9">
        <f t="shared" ref="CS20:CU20" si="96">CS5-CS14</f>
        <v>0</v>
      </c>
      <c r="CT20" s="9">
        <f t="shared" si="96"/>
        <v>0</v>
      </c>
      <c r="CU20" s="9">
        <f t="shared" si="96"/>
        <v>0</v>
      </c>
      <c r="CV20" s="9">
        <f t="shared" ref="CV20:CW20" si="97">CV5-CV14</f>
        <v>0</v>
      </c>
      <c r="CW20" s="9">
        <f t="shared" si="97"/>
        <v>0</v>
      </c>
      <c r="CX20" s="9">
        <f t="shared" ref="CX20:CY20" si="98">CX5-CX14</f>
        <v>0</v>
      </c>
      <c r="CY20" s="9">
        <f t="shared" si="98"/>
        <v>0</v>
      </c>
      <c r="CZ20" s="9">
        <f t="shared" ref="CZ20:DA20" si="99">CZ5-CZ14</f>
        <v>0</v>
      </c>
      <c r="DA20" s="9">
        <f t="shared" si="99"/>
        <v>0</v>
      </c>
      <c r="DB20" s="9">
        <f t="shared" ref="DB20:DD20" si="100">DB5-DB14</f>
        <v>0</v>
      </c>
      <c r="DC20" s="9">
        <f t="shared" si="100"/>
        <v>0</v>
      </c>
      <c r="DD20" s="9">
        <f t="shared" si="100"/>
        <v>0</v>
      </c>
      <c r="DE20" s="9">
        <f t="shared" ref="DE20:DF20" si="101">DE5-DE14</f>
        <v>0</v>
      </c>
      <c r="DF20" s="9">
        <f t="shared" si="101"/>
        <v>0</v>
      </c>
    </row>
    <row r="21" spans="2:110">
      <c r="B21" s="10" t="s">
        <v>34</v>
      </c>
      <c r="C21" s="9">
        <f t="shared" si="84"/>
        <v>14958</v>
      </c>
      <c r="D21" s="9">
        <f t="shared" si="66"/>
        <v>0</v>
      </c>
      <c r="E21" s="9">
        <f t="shared" si="66"/>
        <v>13448</v>
      </c>
      <c r="F21" s="9">
        <f t="shared" si="66"/>
        <v>-14958</v>
      </c>
      <c r="G21" s="9">
        <f t="shared" si="66"/>
        <v>0</v>
      </c>
      <c r="H21" s="9">
        <f t="shared" si="66"/>
        <v>10388</v>
      </c>
      <c r="I21" s="9">
        <f t="shared" si="66"/>
        <v>0</v>
      </c>
      <c r="J21" s="9">
        <f t="shared" si="66"/>
        <v>0</v>
      </c>
      <c r="K21" s="9">
        <f t="shared" si="66"/>
        <v>8607</v>
      </c>
      <c r="L21" s="9">
        <f t="shared" si="66"/>
        <v>601.49000000022352</v>
      </c>
      <c r="M21" s="9">
        <f t="shared" si="66"/>
        <v>0</v>
      </c>
      <c r="N21" s="9">
        <f t="shared" si="66"/>
        <v>802.04999999701977</v>
      </c>
      <c r="O21" s="9">
        <f t="shared" si="66"/>
        <v>0</v>
      </c>
      <c r="P21" s="9">
        <f t="shared" si="66"/>
        <v>0</v>
      </c>
      <c r="Q21" s="9">
        <f t="shared" si="66"/>
        <v>0</v>
      </c>
      <c r="R21" s="9">
        <f t="shared" si="66"/>
        <v>0</v>
      </c>
      <c r="S21" s="9">
        <f t="shared" si="66"/>
        <v>0</v>
      </c>
      <c r="T21" s="9">
        <f t="shared" si="66"/>
        <v>0</v>
      </c>
      <c r="U21" s="9">
        <f t="shared" si="66"/>
        <v>0</v>
      </c>
      <c r="V21" s="9">
        <f t="shared" si="66"/>
        <v>0</v>
      </c>
      <c r="W21" s="9">
        <f t="shared" si="66"/>
        <v>0</v>
      </c>
      <c r="X21" s="9">
        <f t="shared" si="66"/>
        <v>0</v>
      </c>
      <c r="Y21" s="9">
        <f t="shared" si="66"/>
        <v>0</v>
      </c>
      <c r="Z21" s="9">
        <f t="shared" si="66"/>
        <v>0</v>
      </c>
      <c r="AA21" s="9">
        <f t="shared" si="66"/>
        <v>0</v>
      </c>
      <c r="AB21" s="9">
        <f t="shared" si="66"/>
        <v>0</v>
      </c>
      <c r="AC21" s="9">
        <f t="shared" si="66"/>
        <v>-19974.69999999553</v>
      </c>
      <c r="AD21" s="9">
        <f t="shared" si="66"/>
        <v>19974.700000001118</v>
      </c>
      <c r="AE21" s="9">
        <f t="shared" si="66"/>
        <v>0</v>
      </c>
      <c r="AF21" s="9">
        <f t="shared" si="66"/>
        <v>-2493</v>
      </c>
      <c r="AG21" s="9">
        <f t="shared" si="66"/>
        <v>0</v>
      </c>
      <c r="AH21" s="9">
        <f t="shared" si="66"/>
        <v>0</v>
      </c>
      <c r="AI21" s="9">
        <f t="shared" si="66"/>
        <v>0</v>
      </c>
      <c r="AJ21" s="9">
        <f t="shared" si="66"/>
        <v>0</v>
      </c>
      <c r="AK21" s="9">
        <f t="shared" si="66"/>
        <v>0</v>
      </c>
      <c r="AL21" s="9">
        <f t="shared" si="66"/>
        <v>0</v>
      </c>
      <c r="AM21" s="9">
        <f t="shared" si="66"/>
        <v>0</v>
      </c>
      <c r="AN21" s="9">
        <f t="shared" si="66"/>
        <v>0</v>
      </c>
      <c r="AO21" s="9">
        <f t="shared" si="66"/>
        <v>0</v>
      </c>
      <c r="AP21" s="9">
        <f t="shared" si="66"/>
        <v>0</v>
      </c>
      <c r="AQ21" s="9">
        <f t="shared" si="66"/>
        <v>0</v>
      </c>
      <c r="AR21" s="9">
        <f t="shared" si="66"/>
        <v>0</v>
      </c>
      <c r="AS21" s="9">
        <f t="shared" si="66"/>
        <v>0</v>
      </c>
      <c r="AT21" s="9">
        <f t="shared" ref="AT21:AU21" si="102">AT6-AT15</f>
        <v>0</v>
      </c>
      <c r="AU21" s="9">
        <f t="shared" si="102"/>
        <v>0</v>
      </c>
      <c r="AV21" s="9">
        <f t="shared" ref="AV21:AW21" si="103">AV6-AV15</f>
        <v>78043.299999998882</v>
      </c>
      <c r="AW21" s="9">
        <f t="shared" si="103"/>
        <v>-17970</v>
      </c>
      <c r="AX21" s="9">
        <f t="shared" ref="AX21:AY21" si="104">AX6-AX15</f>
        <v>56540.440000001341</v>
      </c>
      <c r="AY21" s="9">
        <f t="shared" si="104"/>
        <v>-55668.419999999925</v>
      </c>
      <c r="AZ21" s="9">
        <f t="shared" ref="AZ21:CD21" si="105">AZ6-AZ15</f>
        <v>0</v>
      </c>
      <c r="BA21" s="9">
        <f t="shared" si="105"/>
        <v>0</v>
      </c>
      <c r="BB21" s="9">
        <f t="shared" si="105"/>
        <v>0</v>
      </c>
      <c r="BC21" s="9">
        <f t="shared" si="105"/>
        <v>0</v>
      </c>
      <c r="BD21" s="9">
        <f t="shared" si="105"/>
        <v>0</v>
      </c>
      <c r="BE21" s="9">
        <f t="shared" si="105"/>
        <v>0</v>
      </c>
      <c r="BF21" s="9">
        <f t="shared" si="105"/>
        <v>0</v>
      </c>
      <c r="BG21" s="9">
        <f t="shared" si="105"/>
        <v>0</v>
      </c>
      <c r="BH21" s="9">
        <f t="shared" si="105"/>
        <v>0</v>
      </c>
      <c r="BI21" s="9">
        <f t="shared" si="105"/>
        <v>0</v>
      </c>
      <c r="BJ21" s="9">
        <f t="shared" si="105"/>
        <v>0</v>
      </c>
      <c r="BK21" s="9">
        <f t="shared" si="105"/>
        <v>0</v>
      </c>
      <c r="BL21" s="9">
        <f t="shared" si="105"/>
        <v>0</v>
      </c>
      <c r="BM21" s="9">
        <f t="shared" si="105"/>
        <v>0</v>
      </c>
      <c r="BN21" s="9">
        <f t="shared" si="105"/>
        <v>0</v>
      </c>
      <c r="BO21" s="9">
        <f t="shared" si="105"/>
        <v>0</v>
      </c>
      <c r="BP21" s="9">
        <f t="shared" si="105"/>
        <v>0</v>
      </c>
      <c r="BQ21" s="9">
        <f t="shared" si="105"/>
        <v>0</v>
      </c>
      <c r="BR21" s="9">
        <f t="shared" si="105"/>
        <v>0</v>
      </c>
      <c r="BS21" s="9">
        <f t="shared" si="105"/>
        <v>0</v>
      </c>
      <c r="BT21" s="9">
        <f t="shared" si="105"/>
        <v>0</v>
      </c>
      <c r="BU21" s="9">
        <f t="shared" si="105"/>
        <v>0</v>
      </c>
      <c r="BV21" s="9">
        <f t="shared" si="105"/>
        <v>0</v>
      </c>
      <c r="BW21" s="9">
        <f t="shared" si="105"/>
        <v>0</v>
      </c>
      <c r="BX21" s="9">
        <f t="shared" si="105"/>
        <v>0</v>
      </c>
      <c r="BY21" s="9">
        <f t="shared" si="105"/>
        <v>0</v>
      </c>
      <c r="BZ21" s="9">
        <f t="shared" si="105"/>
        <v>0</v>
      </c>
      <c r="CA21" s="9">
        <f t="shared" si="105"/>
        <v>0</v>
      </c>
      <c r="CB21" s="9">
        <f t="shared" si="105"/>
        <v>0</v>
      </c>
      <c r="CC21" s="9">
        <f t="shared" si="105"/>
        <v>0</v>
      </c>
      <c r="CD21" s="9">
        <f t="shared" si="105"/>
        <v>0</v>
      </c>
      <c r="CE21" s="9">
        <f t="shared" ref="CE21:CF21" si="106">CE6-CE15</f>
        <v>0</v>
      </c>
      <c r="CF21" s="9">
        <f t="shared" si="106"/>
        <v>0</v>
      </c>
      <c r="CG21" s="9">
        <f t="shared" ref="CG21:CH21" si="107">CG6-CG15</f>
        <v>0</v>
      </c>
      <c r="CH21" s="9">
        <f t="shared" si="107"/>
        <v>0</v>
      </c>
      <c r="CI21" s="9">
        <f t="shared" ref="CI21:CJ21" si="108">CI6-CI15</f>
        <v>0</v>
      </c>
      <c r="CJ21" s="9">
        <f t="shared" si="108"/>
        <v>0</v>
      </c>
      <c r="CK21" s="9">
        <f t="shared" ref="CK21:CL21" si="109">CK6-CK15</f>
        <v>0</v>
      </c>
      <c r="CL21" s="9">
        <f t="shared" si="109"/>
        <v>0</v>
      </c>
      <c r="CM21" s="9">
        <f t="shared" ref="CM21:CN21" si="110">CM6-CM15</f>
        <v>0</v>
      </c>
      <c r="CN21" s="9">
        <f t="shared" si="110"/>
        <v>0</v>
      </c>
      <c r="CO21" s="9">
        <f t="shared" ref="CO21:CP21" si="111">CO6-CO15</f>
        <v>0</v>
      </c>
      <c r="CP21" s="9">
        <f t="shared" si="111"/>
        <v>0</v>
      </c>
      <c r="CQ21" s="9">
        <f t="shared" ref="CQ21:CR21" si="112">CQ6-CQ15</f>
        <v>0</v>
      </c>
      <c r="CR21" s="9">
        <f t="shared" si="112"/>
        <v>0</v>
      </c>
      <c r="CS21" s="9">
        <f t="shared" ref="CS21:CU21" si="113">CS6-CS15</f>
        <v>0</v>
      </c>
      <c r="CT21" s="9">
        <f t="shared" si="113"/>
        <v>0</v>
      </c>
      <c r="CU21" s="9">
        <f t="shared" si="113"/>
        <v>0</v>
      </c>
      <c r="CV21" s="9">
        <f t="shared" ref="CV21:CW21" si="114">CV6-CV15</f>
        <v>0</v>
      </c>
      <c r="CW21" s="9">
        <f t="shared" si="114"/>
        <v>0</v>
      </c>
      <c r="CX21" s="9">
        <f t="shared" ref="CX21:CY21" si="115">CX6-CX15</f>
        <v>0</v>
      </c>
      <c r="CY21" s="9">
        <f t="shared" si="115"/>
        <v>0</v>
      </c>
      <c r="CZ21" s="9">
        <f t="shared" ref="CZ21:DA21" si="116">CZ6-CZ15</f>
        <v>0</v>
      </c>
      <c r="DA21" s="9">
        <f t="shared" si="116"/>
        <v>0</v>
      </c>
      <c r="DB21" s="9">
        <f t="shared" ref="DB21:DC21" si="117">DB6-DB15</f>
        <v>0</v>
      </c>
      <c r="DC21" s="9">
        <f t="shared" si="117"/>
        <v>0</v>
      </c>
      <c r="DD21" s="9">
        <f>DD6-DD15</f>
        <v>0</v>
      </c>
      <c r="DE21" s="9">
        <f>DE6-DE15</f>
        <v>0</v>
      </c>
      <c r="DF21" s="9">
        <f>DF6-DF15</f>
        <v>0</v>
      </c>
    </row>
    <row r="22" spans="2:110">
      <c r="B22" s="10" t="s">
        <v>34</v>
      </c>
      <c r="C22" s="9">
        <f t="shared" si="84"/>
        <v>-1878264.27</v>
      </c>
      <c r="D22" s="9">
        <f t="shared" si="66"/>
        <v>-4016685.15</v>
      </c>
      <c r="E22" s="9">
        <f t="shared" si="66"/>
        <v>-18344092.66</v>
      </c>
      <c r="F22" s="9">
        <f t="shared" si="66"/>
        <v>-2777695.89</v>
      </c>
      <c r="G22" s="9">
        <f t="shared" si="66"/>
        <v>-11819915.710000001</v>
      </c>
      <c r="H22" s="9">
        <f t="shared" si="66"/>
        <v>-22433121.120000001</v>
      </c>
      <c r="I22" s="9">
        <f t="shared" si="66"/>
        <v>-1252562.3999999999</v>
      </c>
      <c r="J22" s="9">
        <f t="shared" si="66"/>
        <v>-3285636.08</v>
      </c>
      <c r="K22" s="9">
        <f t="shared" si="66"/>
        <v>-14139044.33</v>
      </c>
      <c r="L22" s="9">
        <f t="shared" si="66"/>
        <v>-2969694.62</v>
      </c>
      <c r="M22" s="9">
        <f t="shared" si="66"/>
        <v>-8475910.1600000001</v>
      </c>
      <c r="N22" s="9">
        <f t="shared" si="66"/>
        <v>-27835191.57</v>
      </c>
      <c r="O22" s="9">
        <f t="shared" si="66"/>
        <v>-3316048.07</v>
      </c>
      <c r="P22" s="9">
        <f t="shared" si="66"/>
        <v>-8066643.3200000003</v>
      </c>
      <c r="Q22" s="9">
        <f t="shared" si="66"/>
        <v>-16278132.34</v>
      </c>
      <c r="R22" s="9">
        <f t="shared" si="66"/>
        <v>-3361642.97</v>
      </c>
      <c r="S22" s="9">
        <f t="shared" si="66"/>
        <v>-7327856.8799999999</v>
      </c>
      <c r="T22" s="9">
        <f t="shared" si="66"/>
        <v>-20028282.300000001</v>
      </c>
      <c r="U22" s="9">
        <f t="shared" si="66"/>
        <v>-4650028.8099999996</v>
      </c>
      <c r="V22" s="9">
        <f t="shared" si="66"/>
        <v>-5436703.7599999998</v>
      </c>
      <c r="W22" s="9">
        <f t="shared" si="66"/>
        <v>-15683121.43</v>
      </c>
      <c r="X22" s="9">
        <f t="shared" si="66"/>
        <v>-8499638.25</v>
      </c>
      <c r="Y22" s="9">
        <f t="shared" si="66"/>
        <v>-8728681.2200000007</v>
      </c>
      <c r="Z22" s="9">
        <f t="shared" si="66"/>
        <v>-37720244.450000003</v>
      </c>
      <c r="AA22" s="9">
        <f t="shared" si="66"/>
        <v>-3045986.36</v>
      </c>
      <c r="AB22" s="9">
        <f t="shared" si="66"/>
        <v>-4021982.82</v>
      </c>
      <c r="AC22" s="9">
        <f t="shared" si="66"/>
        <v>-22147519.859999999</v>
      </c>
      <c r="AD22" s="9">
        <f t="shared" si="66"/>
        <v>-3906013.16</v>
      </c>
      <c r="AE22" s="9">
        <f t="shared" si="66"/>
        <v>-8496589.4199999999</v>
      </c>
      <c r="AF22" s="9">
        <f t="shared" si="66"/>
        <v>-20025564.969999999</v>
      </c>
      <c r="AG22" s="9">
        <f t="shared" si="66"/>
        <v>-4490134.21</v>
      </c>
      <c r="AH22" s="9">
        <f t="shared" si="66"/>
        <v>-7672951.0700000003</v>
      </c>
      <c r="AI22" s="9">
        <f t="shared" si="66"/>
        <v>-20590117.09</v>
      </c>
      <c r="AJ22" s="9">
        <f t="shared" si="66"/>
        <v>-2971043.22</v>
      </c>
      <c r="AK22" s="9">
        <f t="shared" si="66"/>
        <v>-10145487.35</v>
      </c>
      <c r="AL22" s="9">
        <f t="shared" si="66"/>
        <v>0</v>
      </c>
      <c r="AM22" s="9">
        <f t="shared" si="66"/>
        <v>0</v>
      </c>
      <c r="AN22" s="9">
        <f t="shared" si="66"/>
        <v>0</v>
      </c>
      <c r="AO22" s="9">
        <f t="shared" si="66"/>
        <v>0</v>
      </c>
      <c r="AP22" s="9">
        <f t="shared" si="66"/>
        <v>0</v>
      </c>
      <c r="AQ22" s="9">
        <f t="shared" si="66"/>
        <v>0</v>
      </c>
      <c r="AR22" s="9">
        <f t="shared" si="66"/>
        <v>0</v>
      </c>
      <c r="AS22" s="9">
        <f t="shared" si="66"/>
        <v>0</v>
      </c>
      <c r="AT22" s="9">
        <f t="shared" ref="AT22:AU22" si="118">AT7-AT16</f>
        <v>0</v>
      </c>
      <c r="AU22" s="9">
        <f t="shared" si="118"/>
        <v>0</v>
      </c>
      <c r="AV22" s="9">
        <f t="shared" ref="AV22:AW22" si="119">AV7-AV16</f>
        <v>0</v>
      </c>
      <c r="AW22" s="9">
        <f t="shared" si="119"/>
        <v>0</v>
      </c>
      <c r="AX22" s="9">
        <f t="shared" ref="AX22:AY22" si="120">AX7-AX16</f>
        <v>0</v>
      </c>
      <c r="AY22" s="9">
        <f t="shared" si="120"/>
        <v>0</v>
      </c>
      <c r="AZ22" s="9">
        <f t="shared" ref="AZ22:CD22" si="121">AZ7-AZ16</f>
        <v>0</v>
      </c>
      <c r="BA22" s="9">
        <f t="shared" si="121"/>
        <v>0</v>
      </c>
      <c r="BB22" s="9">
        <f t="shared" si="121"/>
        <v>0</v>
      </c>
      <c r="BC22" s="9">
        <f t="shared" si="121"/>
        <v>0</v>
      </c>
      <c r="BD22" s="9">
        <f t="shared" si="121"/>
        <v>0</v>
      </c>
      <c r="BE22" s="9">
        <f t="shared" si="121"/>
        <v>0</v>
      </c>
      <c r="BF22" s="9">
        <f t="shared" si="121"/>
        <v>0</v>
      </c>
      <c r="BG22" s="9">
        <f t="shared" si="121"/>
        <v>0</v>
      </c>
      <c r="BH22" s="9">
        <f t="shared" si="121"/>
        <v>0</v>
      </c>
      <c r="BI22" s="9">
        <f t="shared" si="121"/>
        <v>0</v>
      </c>
      <c r="BJ22" s="9">
        <f t="shared" si="121"/>
        <v>0</v>
      </c>
      <c r="BK22" s="9">
        <f t="shared" si="121"/>
        <v>0</v>
      </c>
      <c r="BL22" s="9">
        <f t="shared" si="121"/>
        <v>0</v>
      </c>
      <c r="BM22" s="9">
        <f t="shared" si="121"/>
        <v>0</v>
      </c>
      <c r="BN22" s="9">
        <f t="shared" si="121"/>
        <v>0</v>
      </c>
      <c r="BO22" s="9">
        <f t="shared" si="121"/>
        <v>0</v>
      </c>
      <c r="BP22" s="9">
        <f t="shared" si="121"/>
        <v>0</v>
      </c>
      <c r="BQ22" s="9">
        <f t="shared" si="121"/>
        <v>0</v>
      </c>
      <c r="BR22" s="9">
        <f t="shared" si="121"/>
        <v>0</v>
      </c>
      <c r="BS22" s="9">
        <f t="shared" si="121"/>
        <v>0</v>
      </c>
      <c r="BT22" s="9">
        <f t="shared" si="121"/>
        <v>0</v>
      </c>
      <c r="BU22" s="9">
        <f t="shared" si="121"/>
        <v>0</v>
      </c>
      <c r="BV22" s="9">
        <f t="shared" si="121"/>
        <v>0</v>
      </c>
      <c r="BW22" s="9">
        <f t="shared" si="121"/>
        <v>0</v>
      </c>
      <c r="BX22" s="9">
        <v>0</v>
      </c>
      <c r="BY22" s="9">
        <v>0</v>
      </c>
      <c r="BZ22" s="9">
        <f t="shared" si="121"/>
        <v>0</v>
      </c>
      <c r="CA22" s="9">
        <f t="shared" si="121"/>
        <v>0</v>
      </c>
      <c r="CB22" s="9">
        <f t="shared" si="121"/>
        <v>0</v>
      </c>
      <c r="CC22" s="9">
        <f t="shared" si="121"/>
        <v>0</v>
      </c>
      <c r="CD22" s="9">
        <f t="shared" si="121"/>
        <v>0</v>
      </c>
      <c r="CE22" s="9">
        <f t="shared" ref="CE22:CF22" si="122">CE7-CE16</f>
        <v>0</v>
      </c>
      <c r="CF22" s="9">
        <f t="shared" si="122"/>
        <v>0</v>
      </c>
      <c r="CG22" s="9">
        <f t="shared" ref="CG22:CH22" si="123">CG7-CG16</f>
        <v>0</v>
      </c>
      <c r="CH22" s="9">
        <f t="shared" si="123"/>
        <v>0</v>
      </c>
      <c r="CI22" s="9">
        <f t="shared" ref="CI22:CJ22" si="124">CI7-CI16</f>
        <v>0</v>
      </c>
      <c r="CJ22" s="9">
        <f t="shared" si="124"/>
        <v>0</v>
      </c>
      <c r="CK22" s="9">
        <f t="shared" ref="CK22:CL22" si="125">CK7-CK16</f>
        <v>0</v>
      </c>
      <c r="CL22" s="9">
        <f t="shared" si="125"/>
        <v>0</v>
      </c>
      <c r="CM22" s="9">
        <f t="shared" ref="CM22:CN22" si="126">CM7-CM16</f>
        <v>0</v>
      </c>
      <c r="CN22" s="9">
        <f t="shared" si="126"/>
        <v>0</v>
      </c>
      <c r="CO22" s="9">
        <f t="shared" ref="CO22:CP22" si="127">CO7-CO16</f>
        <v>0</v>
      </c>
      <c r="CP22" s="9">
        <f t="shared" si="127"/>
        <v>0</v>
      </c>
      <c r="CQ22" s="9">
        <f t="shared" ref="CQ22:CR22" si="128">CQ7-CQ16</f>
        <v>0</v>
      </c>
      <c r="CR22" s="9">
        <f t="shared" si="128"/>
        <v>0</v>
      </c>
      <c r="CS22" s="9">
        <f t="shared" ref="CS22:CU22" si="129">CS7-CS16</f>
        <v>0</v>
      </c>
      <c r="CT22" s="9">
        <f t="shared" si="129"/>
        <v>0</v>
      </c>
      <c r="CU22" s="9">
        <f t="shared" si="129"/>
        <v>0</v>
      </c>
      <c r="CV22" s="9">
        <f t="shared" ref="CV22:CW22" si="130">CV7-CV16</f>
        <v>0</v>
      </c>
      <c r="CW22" s="9">
        <f t="shared" si="130"/>
        <v>0</v>
      </c>
      <c r="CX22" s="9">
        <f t="shared" ref="CX22:CY22" si="131">CX7-CX16</f>
        <v>0</v>
      </c>
      <c r="CY22" s="9">
        <f t="shared" si="131"/>
        <v>0</v>
      </c>
      <c r="CZ22" s="9">
        <f t="shared" ref="CZ22:DA22" si="132">CZ7-CZ16</f>
        <v>0</v>
      </c>
      <c r="DA22" s="9">
        <f t="shared" si="132"/>
        <v>0</v>
      </c>
      <c r="DB22" s="9">
        <f t="shared" ref="DB22:DC22" si="133">DB7-DB16</f>
        <v>0</v>
      </c>
      <c r="DC22" s="9">
        <f t="shared" si="133"/>
        <v>0</v>
      </c>
      <c r="DD22" s="9">
        <f t="shared" ref="DD22:DE22" si="134">DD7-DD16</f>
        <v>0</v>
      </c>
      <c r="DE22" s="9">
        <f t="shared" si="134"/>
        <v>0</v>
      </c>
      <c r="DF22" s="9">
        <f t="shared" ref="DF22" si="135">DF7-DF16</f>
        <v>0</v>
      </c>
    </row>
    <row r="23" spans="2:110">
      <c r="B23" s="10" t="s">
        <v>34</v>
      </c>
      <c r="C23" s="9">
        <f t="shared" si="84"/>
        <v>1893222.27</v>
      </c>
      <c r="D23" s="9">
        <f t="shared" si="66"/>
        <v>4016685.1500000004</v>
      </c>
      <c r="E23" s="9">
        <f t="shared" si="66"/>
        <v>18357540.66</v>
      </c>
      <c r="F23" s="9">
        <f t="shared" si="66"/>
        <v>2762737.89</v>
      </c>
      <c r="G23" s="9">
        <f t="shared" si="66"/>
        <v>11819915.710000001</v>
      </c>
      <c r="H23" s="9">
        <f t="shared" si="66"/>
        <v>22443509.120000001</v>
      </c>
      <c r="I23" s="9">
        <f t="shared" si="66"/>
        <v>1252562.4000000004</v>
      </c>
      <c r="J23" s="9">
        <f t="shared" si="66"/>
        <v>3285636.08</v>
      </c>
      <c r="K23" s="9">
        <f t="shared" si="66"/>
        <v>14147651.33</v>
      </c>
      <c r="L23" s="9">
        <f t="shared" si="66"/>
        <v>2970296.1100000003</v>
      </c>
      <c r="M23" s="9">
        <f t="shared" si="66"/>
        <v>8475910.1600000001</v>
      </c>
      <c r="N23" s="9">
        <f t="shared" si="66"/>
        <v>27835993.619999997</v>
      </c>
      <c r="O23" s="9">
        <f t="shared" si="66"/>
        <v>3316048.07</v>
      </c>
      <c r="P23" s="9">
        <f t="shared" si="66"/>
        <v>8066643.3200000003</v>
      </c>
      <c r="Q23" s="9">
        <f t="shared" si="66"/>
        <v>16278132.34</v>
      </c>
      <c r="R23" s="9">
        <f t="shared" si="66"/>
        <v>3361642.97</v>
      </c>
      <c r="S23" s="9">
        <f t="shared" si="66"/>
        <v>7327856.879999999</v>
      </c>
      <c r="T23" s="9">
        <f t="shared" si="66"/>
        <v>20028282.300000001</v>
      </c>
      <c r="U23" s="9">
        <f t="shared" si="66"/>
        <v>4650028.8099999996</v>
      </c>
      <c r="V23" s="9">
        <f t="shared" si="66"/>
        <v>5436703.7599999998</v>
      </c>
      <c r="W23" s="9">
        <f t="shared" si="66"/>
        <v>15683121.43</v>
      </c>
      <c r="X23" s="9">
        <f t="shared" si="66"/>
        <v>8499638.25</v>
      </c>
      <c r="Y23" s="9">
        <f t="shared" si="66"/>
        <v>8728681.2200000007</v>
      </c>
      <c r="Z23" s="9">
        <f t="shared" si="66"/>
        <v>37720244.450000003</v>
      </c>
      <c r="AA23" s="9">
        <f t="shared" si="66"/>
        <v>3045986.36</v>
      </c>
      <c r="AB23" s="9">
        <f t="shared" si="66"/>
        <v>4021982.82</v>
      </c>
      <c r="AC23" s="9">
        <f t="shared" si="66"/>
        <v>22127545.160000004</v>
      </c>
      <c r="AD23" s="9">
        <f t="shared" si="66"/>
        <v>3925987.8600000013</v>
      </c>
      <c r="AE23" s="9">
        <f t="shared" si="66"/>
        <v>8496589.4199999999</v>
      </c>
      <c r="AF23" s="9">
        <f t="shared" si="66"/>
        <v>20023071.969999999</v>
      </c>
      <c r="AG23" s="9">
        <f t="shared" si="66"/>
        <v>4490134.21</v>
      </c>
      <c r="AH23" s="9">
        <f t="shared" si="66"/>
        <v>7672951.0700000003</v>
      </c>
      <c r="AI23" s="9">
        <f t="shared" si="66"/>
        <v>20590117.09</v>
      </c>
      <c r="AJ23" s="9">
        <f t="shared" si="66"/>
        <v>2971043.22</v>
      </c>
      <c r="AK23" s="9">
        <f t="shared" si="66"/>
        <v>10145487.35</v>
      </c>
      <c r="AL23" s="9">
        <f t="shared" si="66"/>
        <v>0</v>
      </c>
      <c r="AM23" s="9">
        <f t="shared" si="66"/>
        <v>0</v>
      </c>
      <c r="AN23" s="9">
        <f t="shared" si="66"/>
        <v>0</v>
      </c>
      <c r="AO23" s="9">
        <f t="shared" si="66"/>
        <v>0</v>
      </c>
      <c r="AP23" s="9">
        <f t="shared" si="66"/>
        <v>0</v>
      </c>
      <c r="AQ23" s="9">
        <f t="shared" si="66"/>
        <v>0</v>
      </c>
      <c r="AR23" s="9">
        <f t="shared" si="66"/>
        <v>0</v>
      </c>
      <c r="AS23" s="9">
        <f t="shared" si="66"/>
        <v>0</v>
      </c>
      <c r="AT23" s="9">
        <f t="shared" ref="AT23:AU23" si="136">AT8-AT17</f>
        <v>0</v>
      </c>
      <c r="AU23" s="9">
        <f t="shared" si="136"/>
        <v>0</v>
      </c>
      <c r="AV23" s="9">
        <f t="shared" ref="AV23:AW23" si="137">AV8-AV17</f>
        <v>78043.299999998882</v>
      </c>
      <c r="AW23" s="9">
        <f t="shared" si="137"/>
        <v>-17970</v>
      </c>
      <c r="AX23" s="9">
        <f t="shared" ref="AX23:AY23" si="138">AX8-AX17</f>
        <v>56540.440000001341</v>
      </c>
      <c r="AY23" s="9">
        <f t="shared" si="138"/>
        <v>-55668.419999999925</v>
      </c>
      <c r="AZ23" s="9">
        <f t="shared" ref="AZ23:CD23" si="139">AZ8-AZ17</f>
        <v>0</v>
      </c>
      <c r="BA23" s="9">
        <f t="shared" si="139"/>
        <v>0</v>
      </c>
      <c r="BB23" s="9">
        <f t="shared" si="139"/>
        <v>0</v>
      </c>
      <c r="BC23" s="9">
        <f t="shared" si="139"/>
        <v>0</v>
      </c>
      <c r="BD23" s="9">
        <f t="shared" si="139"/>
        <v>0</v>
      </c>
      <c r="BE23" s="9">
        <f t="shared" si="139"/>
        <v>0</v>
      </c>
      <c r="BF23" s="9">
        <f t="shared" si="139"/>
        <v>0</v>
      </c>
      <c r="BG23" s="9">
        <f t="shared" si="139"/>
        <v>0</v>
      </c>
      <c r="BH23" s="9">
        <f t="shared" si="139"/>
        <v>0</v>
      </c>
      <c r="BI23" s="9">
        <f t="shared" si="139"/>
        <v>0</v>
      </c>
      <c r="BJ23" s="9">
        <f t="shared" si="139"/>
        <v>0</v>
      </c>
      <c r="BK23" s="9">
        <f t="shared" si="139"/>
        <v>0</v>
      </c>
      <c r="BL23" s="9">
        <f t="shared" si="139"/>
        <v>0</v>
      </c>
      <c r="BM23" s="9">
        <f t="shared" si="139"/>
        <v>0</v>
      </c>
      <c r="BN23" s="9">
        <f t="shared" si="139"/>
        <v>0</v>
      </c>
      <c r="BO23" s="9">
        <f t="shared" si="139"/>
        <v>0</v>
      </c>
      <c r="BP23" s="9">
        <f t="shared" si="139"/>
        <v>0</v>
      </c>
      <c r="BQ23" s="9">
        <f t="shared" si="139"/>
        <v>0</v>
      </c>
      <c r="BR23" s="9">
        <f t="shared" si="139"/>
        <v>0</v>
      </c>
      <c r="BS23" s="9">
        <f t="shared" si="139"/>
        <v>0</v>
      </c>
      <c r="BT23" s="9">
        <f t="shared" si="139"/>
        <v>0</v>
      </c>
      <c r="BU23" s="9">
        <f t="shared" si="139"/>
        <v>0</v>
      </c>
      <c r="BV23" s="9">
        <f t="shared" si="139"/>
        <v>0</v>
      </c>
      <c r="BW23" s="9">
        <f t="shared" si="139"/>
        <v>0</v>
      </c>
      <c r="BX23" s="9">
        <v>0</v>
      </c>
      <c r="BY23" s="9">
        <v>0</v>
      </c>
      <c r="BZ23" s="9">
        <f t="shared" si="139"/>
        <v>0</v>
      </c>
      <c r="CA23" s="9">
        <f t="shared" si="139"/>
        <v>0</v>
      </c>
      <c r="CB23" s="9">
        <f t="shared" si="139"/>
        <v>0</v>
      </c>
      <c r="CC23" s="9">
        <f t="shared" si="139"/>
        <v>0</v>
      </c>
      <c r="CD23" s="9">
        <f t="shared" si="139"/>
        <v>0</v>
      </c>
      <c r="CE23" s="9">
        <f t="shared" ref="CE23:CF23" si="140">CE8-CE17</f>
        <v>0</v>
      </c>
      <c r="CF23" s="9">
        <f t="shared" si="140"/>
        <v>0</v>
      </c>
      <c r="CG23" s="9">
        <f t="shared" ref="CG23:CH23" si="141">CG8-CG17</f>
        <v>0</v>
      </c>
      <c r="CH23" s="9">
        <f t="shared" si="141"/>
        <v>0</v>
      </c>
      <c r="CI23" s="9">
        <f t="shared" ref="CI23:CJ23" si="142">CI8-CI17</f>
        <v>0</v>
      </c>
      <c r="CJ23" s="9">
        <f t="shared" si="142"/>
        <v>0</v>
      </c>
      <c r="CK23" s="9">
        <f t="shared" ref="CK23:CL23" si="143">CK8-CK17</f>
        <v>0</v>
      </c>
      <c r="CL23" s="9">
        <f t="shared" si="143"/>
        <v>0</v>
      </c>
      <c r="CM23" s="9">
        <f t="shared" ref="CM23:CN23" si="144">CM8-CM17</f>
        <v>0</v>
      </c>
      <c r="CN23" s="9">
        <f t="shared" si="144"/>
        <v>0</v>
      </c>
      <c r="CO23" s="9">
        <f t="shared" ref="CO23:CP23" si="145">CO8-CO17</f>
        <v>0</v>
      </c>
      <c r="CP23" s="9">
        <f t="shared" si="145"/>
        <v>0</v>
      </c>
      <c r="CQ23" s="9">
        <f t="shared" ref="CQ23:CR23" si="146">CQ8-CQ17</f>
        <v>0</v>
      </c>
      <c r="CR23" s="9">
        <f t="shared" si="146"/>
        <v>0</v>
      </c>
      <c r="CS23" s="9">
        <f t="shared" ref="CS23:CU23" si="147">CS8-CS17</f>
        <v>0</v>
      </c>
      <c r="CT23" s="9">
        <f t="shared" si="147"/>
        <v>0</v>
      </c>
      <c r="CU23" s="9">
        <f t="shared" si="147"/>
        <v>0</v>
      </c>
      <c r="CV23" s="9">
        <f t="shared" ref="CV23:CW23" si="148">CV8-CV17</f>
        <v>0</v>
      </c>
      <c r="CW23" s="9">
        <f t="shared" si="148"/>
        <v>0</v>
      </c>
      <c r="CX23" s="9">
        <f t="shared" ref="CX23:CY23" si="149">CX8-CX17</f>
        <v>0</v>
      </c>
      <c r="CY23" s="9">
        <f t="shared" si="149"/>
        <v>0</v>
      </c>
      <c r="CZ23" s="9">
        <f t="shared" ref="CZ23:DA23" si="150">CZ8-CZ17</f>
        <v>0</v>
      </c>
      <c r="DA23" s="9">
        <f t="shared" si="150"/>
        <v>0</v>
      </c>
      <c r="DB23" s="9">
        <f t="shared" ref="DB23:DC23" si="151">DB8-DB17</f>
        <v>0</v>
      </c>
      <c r="DC23" s="9">
        <f t="shared" si="151"/>
        <v>0</v>
      </c>
      <c r="DD23" s="9">
        <f t="shared" ref="DD23:DE23" si="152">DD8-DD17</f>
        <v>0</v>
      </c>
      <c r="DE23" s="9">
        <f t="shared" si="152"/>
        <v>0</v>
      </c>
      <c r="DF23" s="9">
        <f t="shared" ref="DF23" si="153">DF8-DF17</f>
        <v>0</v>
      </c>
    </row>
    <row r="25" spans="2:110" ht="15">
      <c r="B25" s="11" t="s">
        <v>35</v>
      </c>
      <c r="C25" s="12"/>
      <c r="D25" s="12"/>
      <c r="E25" s="12"/>
      <c r="F25" s="12"/>
      <c r="I25" s="9"/>
    </row>
    <row r="26" spans="2:110" ht="15">
      <c r="B26" s="11"/>
      <c r="C26" s="13" t="s">
        <v>36</v>
      </c>
      <c r="D26" s="13" t="s">
        <v>37</v>
      </c>
      <c r="E26" s="13" t="s">
        <v>38</v>
      </c>
      <c r="F26" s="13" t="s">
        <v>39</v>
      </c>
      <c r="G26" s="13" t="s">
        <v>40</v>
      </c>
      <c r="H26" s="13" t="s">
        <v>41</v>
      </c>
      <c r="I26" s="13" t="s">
        <v>42</v>
      </c>
    </row>
    <row r="27" spans="2:110" ht="15" outlineLevel="1">
      <c r="B27" s="11"/>
      <c r="C27" s="14">
        <v>42736</v>
      </c>
      <c r="D27" s="15">
        <v>5676622.3499999996</v>
      </c>
      <c r="E27" s="15">
        <v>1788581.2299999997</v>
      </c>
      <c r="F27" s="15">
        <v>3888041.12</v>
      </c>
      <c r="G27" s="15">
        <v>1878264.27</v>
      </c>
      <c r="H27" s="15">
        <v>2009776.85</v>
      </c>
      <c r="I27" s="16" t="s">
        <v>43</v>
      </c>
    </row>
    <row r="28" spans="2:110" ht="15" outlineLevel="1">
      <c r="B28" s="11"/>
      <c r="C28" s="14">
        <v>42767</v>
      </c>
      <c r="D28" s="15">
        <v>11789194.539999999</v>
      </c>
      <c r="E28" s="15">
        <v>2856430.6399999997</v>
      </c>
      <c r="F28" s="15">
        <v>8932763.8999999985</v>
      </c>
      <c r="G28" s="15">
        <v>4016685.15</v>
      </c>
      <c r="H28" s="15">
        <v>4916078.7499999981</v>
      </c>
      <c r="I28" s="16" t="s">
        <v>43</v>
      </c>
    </row>
    <row r="29" spans="2:110" ht="15" outlineLevel="1">
      <c r="B29" s="11"/>
      <c r="C29" s="14">
        <v>42795</v>
      </c>
      <c r="D29" s="15">
        <v>51980266.019999996</v>
      </c>
      <c r="E29" s="15">
        <v>14605117.550000001</v>
      </c>
      <c r="F29" s="15">
        <v>37375148.469999999</v>
      </c>
      <c r="G29" s="15">
        <v>18344092.66</v>
      </c>
      <c r="H29" s="15">
        <v>19031055.809999999</v>
      </c>
      <c r="I29" s="16" t="s">
        <v>43</v>
      </c>
    </row>
    <row r="30" spans="2:110" ht="15" outlineLevel="1">
      <c r="B30" s="11"/>
      <c r="C30" s="14">
        <v>42826</v>
      </c>
      <c r="D30" s="15">
        <v>7298743.2199999997</v>
      </c>
      <c r="E30" s="15">
        <v>1551831.1999999997</v>
      </c>
      <c r="F30" s="15">
        <v>5746912.0199999996</v>
      </c>
      <c r="G30" s="15">
        <v>2777695.89</v>
      </c>
      <c r="H30" s="15">
        <v>2969216.1299999994</v>
      </c>
      <c r="I30" s="16" t="s">
        <v>43</v>
      </c>
    </row>
    <row r="31" spans="2:110" ht="15" outlineLevel="1">
      <c r="B31" s="11"/>
      <c r="C31" s="14">
        <v>42856</v>
      </c>
      <c r="D31" s="15">
        <v>37143605.909999996</v>
      </c>
      <c r="E31" s="15">
        <v>11233139.389999999</v>
      </c>
      <c r="F31" s="15">
        <v>25910466.519999996</v>
      </c>
      <c r="G31" s="15">
        <v>11819915.710000001</v>
      </c>
      <c r="H31" s="15">
        <v>14090550.809999995</v>
      </c>
      <c r="I31" s="16" t="s">
        <v>43</v>
      </c>
    </row>
    <row r="32" spans="2:110" ht="15" outlineLevel="1">
      <c r="B32" s="11"/>
      <c r="C32" s="14">
        <v>42887</v>
      </c>
      <c r="D32" s="15">
        <v>56309809.730000004</v>
      </c>
      <c r="E32" s="15">
        <v>15795727.970000001</v>
      </c>
      <c r="F32" s="15">
        <v>40514081.760000005</v>
      </c>
      <c r="G32" s="15">
        <v>22433121.120000001</v>
      </c>
      <c r="H32" s="15">
        <v>18080960.640000004</v>
      </c>
      <c r="I32" s="16" t="s">
        <v>43</v>
      </c>
    </row>
    <row r="33" spans="2:9" ht="15" outlineLevel="1">
      <c r="B33" s="11"/>
      <c r="C33" s="14">
        <v>42917</v>
      </c>
      <c r="D33" s="15">
        <v>10513426.299999999</v>
      </c>
      <c r="E33" s="15">
        <v>2418393.6799999997</v>
      </c>
      <c r="F33" s="15">
        <v>8095032.6199999992</v>
      </c>
      <c r="G33" s="15">
        <v>1252562.3999999999</v>
      </c>
      <c r="H33" s="15">
        <v>6842470.2199999988</v>
      </c>
      <c r="I33" s="16" t="s">
        <v>43</v>
      </c>
    </row>
    <row r="34" spans="2:9" ht="15" outlineLevel="1">
      <c r="B34" s="11"/>
      <c r="C34" s="14">
        <v>42948</v>
      </c>
      <c r="D34" s="15">
        <v>13612303.26</v>
      </c>
      <c r="E34" s="15">
        <v>4193558.2300000004</v>
      </c>
      <c r="F34" s="15">
        <v>9418745.0299999993</v>
      </c>
      <c r="G34" s="15">
        <v>3285636.08</v>
      </c>
      <c r="H34" s="15">
        <v>6133108.9499999993</v>
      </c>
      <c r="I34" s="16" t="s">
        <v>43</v>
      </c>
    </row>
    <row r="35" spans="2:9" ht="15" outlineLevel="1">
      <c r="B35" s="11"/>
      <c r="C35" s="14">
        <v>42979</v>
      </c>
      <c r="D35" s="15">
        <v>41185606.920000002</v>
      </c>
      <c r="E35" s="15">
        <v>13049645.300000001</v>
      </c>
      <c r="F35" s="15">
        <v>28135961.620000001</v>
      </c>
      <c r="G35" s="15">
        <v>14139044.33</v>
      </c>
      <c r="H35" s="15">
        <v>13996917.290000001</v>
      </c>
      <c r="I35" s="16" t="s">
        <v>43</v>
      </c>
    </row>
    <row r="36" spans="2:9" ht="15" outlineLevel="1">
      <c r="B36" s="11"/>
      <c r="C36" s="14">
        <v>43009</v>
      </c>
      <c r="D36" s="15">
        <v>9079572.8000000007</v>
      </c>
      <c r="E36" s="15">
        <v>4511387.99</v>
      </c>
      <c r="F36" s="15">
        <v>4568184.8100000005</v>
      </c>
      <c r="G36" s="15">
        <v>2969694.62</v>
      </c>
      <c r="H36" s="15">
        <v>1598490.1900000004</v>
      </c>
      <c r="I36" s="16" t="s">
        <v>43</v>
      </c>
    </row>
    <row r="37" spans="2:9" ht="15" outlineLevel="1">
      <c r="B37" s="11"/>
      <c r="C37" s="14">
        <v>43040</v>
      </c>
      <c r="D37" s="15">
        <v>22318596.460000001</v>
      </c>
      <c r="E37" s="15">
        <v>5866465.9299999997</v>
      </c>
      <c r="F37" s="15">
        <v>16452130.530000001</v>
      </c>
      <c r="G37" s="15">
        <v>8475910.1600000001</v>
      </c>
      <c r="H37" s="15">
        <v>7976220.370000001</v>
      </c>
      <c r="I37" s="16" t="s">
        <v>43</v>
      </c>
    </row>
    <row r="38" spans="2:9" ht="15" outlineLevel="1">
      <c r="B38" s="11"/>
      <c r="C38" s="14">
        <v>43070</v>
      </c>
      <c r="D38" s="15">
        <v>75433100.270000011</v>
      </c>
      <c r="E38" s="15">
        <v>25021588.690000001</v>
      </c>
      <c r="F38" s="15">
        <v>50411511.580000013</v>
      </c>
      <c r="G38" s="15">
        <v>27835191.57</v>
      </c>
      <c r="H38" s="15">
        <v>22576320.010000013</v>
      </c>
      <c r="I38" s="16" t="s">
        <v>43</v>
      </c>
    </row>
    <row r="39" spans="2:9" ht="15">
      <c r="B39" s="11"/>
      <c r="C39" s="14">
        <v>43101</v>
      </c>
      <c r="D39" s="15">
        <v>8364445.2599999998</v>
      </c>
      <c r="E39" s="15">
        <v>2855374.19</v>
      </c>
      <c r="F39" s="15">
        <v>5509071.0700000003</v>
      </c>
      <c r="G39" s="15">
        <v>3316048.07</v>
      </c>
      <c r="H39" s="15">
        <v>2193023.0000000005</v>
      </c>
      <c r="I39" s="16" t="s">
        <v>43</v>
      </c>
    </row>
    <row r="40" spans="2:9" ht="15">
      <c r="B40" s="11"/>
      <c r="C40" s="14">
        <v>43132</v>
      </c>
      <c r="D40" s="15">
        <v>21320936.490000002</v>
      </c>
      <c r="E40" s="15">
        <v>9613566.8000000026</v>
      </c>
      <c r="F40" s="15">
        <v>11707369.689999999</v>
      </c>
      <c r="G40" s="15">
        <v>8066643.3200000003</v>
      </c>
      <c r="H40" s="15">
        <v>3640726.3699999992</v>
      </c>
      <c r="I40" s="16" t="s">
        <v>43</v>
      </c>
    </row>
    <row r="41" spans="2:9" ht="15">
      <c r="B41" s="11"/>
      <c r="C41" s="14">
        <v>43160</v>
      </c>
      <c r="D41" s="15">
        <v>45179753.770000003</v>
      </c>
      <c r="E41" s="15">
        <v>13104112.579999998</v>
      </c>
      <c r="F41" s="15">
        <v>32075641.190000005</v>
      </c>
      <c r="G41" s="15">
        <v>16278132.34</v>
      </c>
      <c r="H41" s="15">
        <v>15797508.850000005</v>
      </c>
      <c r="I41" s="16" t="s">
        <v>43</v>
      </c>
    </row>
    <row r="42" spans="2:9" ht="15">
      <c r="B42" s="11"/>
      <c r="C42" s="14">
        <v>43191</v>
      </c>
      <c r="D42" s="15">
        <v>9911853.0600000005</v>
      </c>
      <c r="E42" s="15">
        <v>3645406.85</v>
      </c>
      <c r="F42" s="15">
        <v>6266446.2100000009</v>
      </c>
      <c r="G42" s="15">
        <v>3361642.97</v>
      </c>
      <c r="H42" s="15">
        <v>2904803.2400000007</v>
      </c>
      <c r="I42" s="16" t="s">
        <v>43</v>
      </c>
    </row>
    <row r="43" spans="2:9" ht="30">
      <c r="B43" s="11" t="s">
        <v>44</v>
      </c>
      <c r="C43" s="14">
        <v>43221</v>
      </c>
      <c r="D43" s="15">
        <v>21474255</v>
      </c>
      <c r="E43" s="15">
        <v>4860663.3</v>
      </c>
      <c r="F43" s="15">
        <v>16613591.699999999</v>
      </c>
      <c r="G43" s="15">
        <v>7327856.8799999999</v>
      </c>
      <c r="H43" s="15">
        <v>9285734.8200000003</v>
      </c>
      <c r="I43" s="16" t="s">
        <v>43</v>
      </c>
    </row>
    <row r="44" spans="2:9" ht="15">
      <c r="B44" s="11"/>
      <c r="C44" s="14">
        <v>43252</v>
      </c>
      <c r="D44" s="15">
        <v>56084541.290000007</v>
      </c>
      <c r="E44" s="15">
        <v>17475256.189999998</v>
      </c>
      <c r="F44" s="15">
        <v>38609285.100000009</v>
      </c>
      <c r="G44" s="15">
        <v>20028282.300000001</v>
      </c>
      <c r="H44" s="15">
        <v>18581002.800000008</v>
      </c>
      <c r="I44" s="16" t="s">
        <v>43</v>
      </c>
    </row>
    <row r="45" spans="2:9" ht="15">
      <c r="B45" s="11"/>
      <c r="C45" s="14">
        <v>43282</v>
      </c>
      <c r="D45" s="15">
        <v>11561194.01</v>
      </c>
      <c r="E45" s="15">
        <v>2980399.2199999997</v>
      </c>
      <c r="F45" s="15">
        <v>8580794.7899999991</v>
      </c>
      <c r="G45" s="15">
        <v>4650028.8099999996</v>
      </c>
      <c r="H45" s="15">
        <v>3930765.9799999995</v>
      </c>
      <c r="I45" s="16" t="s">
        <v>43</v>
      </c>
    </row>
    <row r="46" spans="2:9" ht="15">
      <c r="B46" s="11"/>
      <c r="C46" s="14">
        <v>43313</v>
      </c>
      <c r="D46" s="15">
        <v>15987898.93</v>
      </c>
      <c r="E46" s="15">
        <v>5124560.4799999995</v>
      </c>
      <c r="F46" s="15">
        <v>10863338.449999999</v>
      </c>
      <c r="G46" s="15">
        <v>5436703.7599999998</v>
      </c>
      <c r="H46" s="15">
        <v>5426634.6899999995</v>
      </c>
      <c r="I46" s="16" t="s">
        <v>43</v>
      </c>
    </row>
    <row r="47" spans="2:9" ht="15">
      <c r="B47" s="11"/>
      <c r="C47" s="14">
        <v>43344</v>
      </c>
      <c r="D47" s="15">
        <v>47311072.049999997</v>
      </c>
      <c r="E47" s="15">
        <v>13392255.949999999</v>
      </c>
      <c r="F47" s="15">
        <v>33918816.099999994</v>
      </c>
      <c r="G47" s="15">
        <v>15683121.43</v>
      </c>
      <c r="H47" s="15">
        <v>18235694.669999994</v>
      </c>
      <c r="I47" s="16" t="s">
        <v>43</v>
      </c>
    </row>
    <row r="48" spans="2:9" ht="15">
      <c r="B48" s="11"/>
      <c r="C48" s="14">
        <v>43374</v>
      </c>
      <c r="D48" s="15">
        <v>22571069.879999999</v>
      </c>
      <c r="E48" s="15">
        <v>7549982.0500000007</v>
      </c>
      <c r="F48" s="15">
        <v>15021087.829999998</v>
      </c>
      <c r="G48" s="15">
        <v>8499638.25</v>
      </c>
      <c r="H48" s="15">
        <v>6521449.5799999982</v>
      </c>
      <c r="I48" s="16" t="s">
        <v>43</v>
      </c>
    </row>
    <row r="49" spans="2:9" ht="15">
      <c r="B49" s="11"/>
      <c r="C49" s="14">
        <v>43405</v>
      </c>
      <c r="D49" s="15">
        <v>24004706.379999999</v>
      </c>
      <c r="E49" s="15">
        <v>6990819.0100000007</v>
      </c>
      <c r="F49" s="15">
        <v>17013887.369999997</v>
      </c>
      <c r="G49" s="15">
        <v>8728681.2200000007</v>
      </c>
      <c r="H49" s="15">
        <v>8285206.1499999966</v>
      </c>
      <c r="I49" s="16" t="s">
        <v>43</v>
      </c>
    </row>
    <row r="50" spans="2:9" ht="15">
      <c r="B50" s="11"/>
      <c r="C50" s="14">
        <v>43435</v>
      </c>
      <c r="D50" s="15">
        <v>93737468.530000001</v>
      </c>
      <c r="E50" s="15">
        <v>31280529.890000004</v>
      </c>
      <c r="F50" s="15">
        <v>62456938.640000001</v>
      </c>
      <c r="G50" s="15">
        <v>37720244.450000003</v>
      </c>
      <c r="H50" s="15">
        <f>$Z$17</f>
        <v>24736694.189999998</v>
      </c>
      <c r="I50" s="16" t="s">
        <v>43</v>
      </c>
    </row>
    <row r="51" spans="2:9" ht="15">
      <c r="B51" s="11"/>
      <c r="C51" s="14">
        <v>43466</v>
      </c>
      <c r="D51" s="15">
        <v>10048753.4</v>
      </c>
      <c r="E51" s="15">
        <v>3173399.1000000006</v>
      </c>
      <c r="F51" s="15">
        <v>6875354.2999999998</v>
      </c>
      <c r="G51" s="15">
        <v>3045986.36</v>
      </c>
      <c r="H51" s="15">
        <v>3829367.94</v>
      </c>
      <c r="I51" s="16" t="s">
        <v>43</v>
      </c>
    </row>
    <row r="52" spans="2:9" ht="15">
      <c r="B52" s="11"/>
      <c r="C52" s="14">
        <v>43497</v>
      </c>
      <c r="D52" s="15">
        <v>11328310.810000001</v>
      </c>
      <c r="E52" s="15">
        <v>3863831.4099999997</v>
      </c>
      <c r="F52" s="15">
        <v>7464479.4000000004</v>
      </c>
      <c r="G52" s="15">
        <v>4021982.82</v>
      </c>
      <c r="H52" s="15">
        <v>3442496.5800000005</v>
      </c>
      <c r="I52" s="16" t="s">
        <v>43</v>
      </c>
    </row>
    <row r="53" spans="2:9" ht="15">
      <c r="B53" s="11"/>
      <c r="C53" s="14">
        <v>43525</v>
      </c>
      <c r="D53" s="15">
        <v>68344611.700000003</v>
      </c>
      <c r="E53" s="15">
        <v>19871075.240000002</v>
      </c>
      <c r="F53" s="15">
        <v>48473536.460000001</v>
      </c>
      <c r="G53" s="15">
        <v>22147519.859999999</v>
      </c>
      <c r="H53" s="15">
        <v>26326016.600000001</v>
      </c>
      <c r="I53" s="16" t="s">
        <v>43</v>
      </c>
    </row>
    <row r="54" spans="2:9" ht="15">
      <c r="B54" s="11"/>
      <c r="C54" s="14">
        <v>43556</v>
      </c>
      <c r="D54" s="15">
        <v>11827002.890000001</v>
      </c>
      <c r="E54" s="15">
        <v>2809176.58</v>
      </c>
      <c r="F54" s="15">
        <v>9017826.3100000005</v>
      </c>
      <c r="G54" s="15">
        <v>3906013.16</v>
      </c>
      <c r="H54" s="15">
        <v>5111813.1500000004</v>
      </c>
      <c r="I54" s="16" t="s">
        <v>43</v>
      </c>
    </row>
    <row r="55" spans="2:9" ht="15">
      <c r="B55" s="11"/>
      <c r="C55" s="14">
        <v>43586</v>
      </c>
      <c r="D55" s="15">
        <v>25211087.129999999</v>
      </c>
      <c r="E55" s="15">
        <v>7664037.0800000001</v>
      </c>
      <c r="F55" s="15">
        <v>17547050.049999997</v>
      </c>
      <c r="G55" s="15">
        <v>8496589.4199999999</v>
      </c>
      <c r="H55" s="15">
        <v>9050460.6299999971</v>
      </c>
      <c r="I55" s="16" t="s">
        <v>43</v>
      </c>
    </row>
    <row r="56" spans="2:9" ht="15">
      <c r="B56" s="11"/>
      <c r="C56" s="14">
        <v>43617</v>
      </c>
      <c r="D56" s="15">
        <v>64404446.960000001</v>
      </c>
      <c r="E56" s="15">
        <v>18669336.649999999</v>
      </c>
      <c r="F56" s="15">
        <v>45735110.310000002</v>
      </c>
      <c r="G56" s="15">
        <v>20025564.969999999</v>
      </c>
      <c r="H56" s="15">
        <v>25709545.340000004</v>
      </c>
      <c r="I56" s="16" t="s">
        <v>43</v>
      </c>
    </row>
    <row r="57" spans="2:9" ht="15">
      <c r="B57" s="11"/>
      <c r="C57" s="14">
        <v>43647</v>
      </c>
      <c r="D57" s="15">
        <v>14117807.369999999</v>
      </c>
      <c r="E57" s="15">
        <v>3985348.8100000005</v>
      </c>
      <c r="F57" s="15">
        <v>10132458.559999999</v>
      </c>
      <c r="G57" s="15">
        <v>4490134.21</v>
      </c>
      <c r="H57" s="15">
        <v>5642324.3499999987</v>
      </c>
      <c r="I57" s="16" t="s">
        <v>43</v>
      </c>
    </row>
    <row r="58" spans="2:9" ht="15">
      <c r="B58" s="11"/>
      <c r="C58" s="14">
        <v>43678</v>
      </c>
      <c r="D58" s="15">
        <v>24305344.449999999</v>
      </c>
      <c r="E58" s="15">
        <v>7156847.4500000002</v>
      </c>
      <c r="F58" s="15">
        <v>17148497</v>
      </c>
      <c r="G58" s="15">
        <v>7672951.0700000003</v>
      </c>
      <c r="H58" s="15">
        <v>9475545.9299999997</v>
      </c>
      <c r="I58" s="16" t="s">
        <v>43</v>
      </c>
    </row>
    <row r="59" spans="2:9" ht="15">
      <c r="B59" s="11"/>
      <c r="C59" s="14">
        <v>43709</v>
      </c>
      <c r="D59" s="15">
        <v>64195085.539999999</v>
      </c>
      <c r="E59" s="15">
        <v>18319094.829999998</v>
      </c>
      <c r="F59" s="15">
        <v>45875990.710000001</v>
      </c>
      <c r="G59" s="15">
        <v>20590117.09</v>
      </c>
      <c r="H59" s="15">
        <v>25285873.620000001</v>
      </c>
      <c r="I59" s="16" t="s">
        <v>43</v>
      </c>
    </row>
    <row r="60" spans="2:9">
      <c r="C60" s="14">
        <v>43739</v>
      </c>
      <c r="D60" s="15">
        <v>8298532.9499999993</v>
      </c>
      <c r="E60" s="15">
        <v>2182779.88</v>
      </c>
      <c r="F60" s="15">
        <v>6115753.0699999994</v>
      </c>
      <c r="G60" s="15">
        <v>2971043.22</v>
      </c>
      <c r="H60" s="15">
        <v>3144709.8499999992</v>
      </c>
      <c r="I60" s="16" t="s">
        <v>43</v>
      </c>
    </row>
    <row r="61" spans="2:9">
      <c r="C61" s="14">
        <v>43770</v>
      </c>
      <c r="D61" s="15">
        <v>31276710.939999998</v>
      </c>
      <c r="E61" s="15">
        <v>8783838.7799999993</v>
      </c>
      <c r="F61" s="15">
        <v>22492872.159999996</v>
      </c>
      <c r="G61" s="15">
        <v>10145487.35</v>
      </c>
      <c r="H61" s="15">
        <v>12347384.809999997</v>
      </c>
      <c r="I61" s="16" t="s">
        <v>43</v>
      </c>
    </row>
    <row r="62" spans="2:9">
      <c r="C62" s="14">
        <v>43800</v>
      </c>
      <c r="D62" s="15">
        <v>126693908.32000001</v>
      </c>
      <c r="E62" s="15">
        <v>45364891.629999995</v>
      </c>
      <c r="F62" s="15">
        <v>81329016.690000013</v>
      </c>
      <c r="G62" s="15">
        <v>0</v>
      </c>
      <c r="H62" s="15">
        <v>81329016.690000013</v>
      </c>
      <c r="I62" s="16" t="s">
        <v>43</v>
      </c>
    </row>
    <row r="63" spans="2:9">
      <c r="C63" s="14">
        <v>43831</v>
      </c>
      <c r="D63" s="15">
        <v>8596085.6100000013</v>
      </c>
      <c r="E63" s="15">
        <v>2459665.4899999993</v>
      </c>
      <c r="F63" s="15">
        <v>6136420.120000002</v>
      </c>
      <c r="G63" s="15">
        <v>0</v>
      </c>
      <c r="H63" s="15">
        <v>6136420.120000002</v>
      </c>
      <c r="I63" s="16" t="s">
        <v>43</v>
      </c>
    </row>
    <row r="64" spans="2:9">
      <c r="C64" s="14">
        <v>43862</v>
      </c>
      <c r="D64" s="15">
        <v>11252087.460000001</v>
      </c>
      <c r="E64" s="15">
        <v>2979846.2800000003</v>
      </c>
      <c r="F64" s="15">
        <v>8272241.1800000006</v>
      </c>
      <c r="G64" s="15">
        <v>0</v>
      </c>
      <c r="H64" s="15">
        <v>8272241.1800000006</v>
      </c>
      <c r="I64" s="16" t="s">
        <v>43</v>
      </c>
    </row>
    <row r="65" spans="3:9">
      <c r="C65" s="14">
        <v>43891</v>
      </c>
      <c r="D65" s="15">
        <v>22438481.349999998</v>
      </c>
      <c r="E65" s="15">
        <v>7247207.9500000002</v>
      </c>
      <c r="F65" s="15">
        <v>15191273.399999999</v>
      </c>
      <c r="G65" s="15">
        <v>0</v>
      </c>
      <c r="H65" s="15">
        <v>15191273.399999999</v>
      </c>
      <c r="I65" s="16" t="s">
        <v>43</v>
      </c>
    </row>
    <row r="66" spans="3:9">
      <c r="C66" s="14">
        <v>43922</v>
      </c>
      <c r="D66" s="15">
        <v>1367165</v>
      </c>
      <c r="E66" s="15">
        <v>164808.72</v>
      </c>
      <c r="F66" s="15">
        <v>1202356.28</v>
      </c>
      <c r="G66" s="15">
        <v>0</v>
      </c>
      <c r="H66" s="15">
        <v>1202356.28</v>
      </c>
      <c r="I66" s="16" t="s">
        <v>43</v>
      </c>
    </row>
    <row r="67" spans="3:9">
      <c r="C67" s="14">
        <v>43952</v>
      </c>
      <c r="D67" s="15">
        <v>10407752.199999999</v>
      </c>
      <c r="E67" s="15">
        <v>2405896.5099999998</v>
      </c>
      <c r="F67" s="15">
        <v>8001855.6899999995</v>
      </c>
      <c r="G67" s="15">
        <v>0</v>
      </c>
      <c r="H67" s="15">
        <v>8001855.6899999995</v>
      </c>
      <c r="I67" s="16" t="s">
        <v>43</v>
      </c>
    </row>
    <row r="68" spans="3:9">
      <c r="C68" s="14">
        <v>43983</v>
      </c>
      <c r="D68" s="15">
        <v>45430618.799999997</v>
      </c>
      <c r="E68" s="15">
        <v>14791818.4</v>
      </c>
      <c r="F68" s="15">
        <v>30638800.399999999</v>
      </c>
      <c r="G68" s="15">
        <v>0</v>
      </c>
      <c r="H68" s="15">
        <v>30638800.399999999</v>
      </c>
      <c r="I68" s="16" t="s">
        <v>43</v>
      </c>
    </row>
    <row r="69" spans="3:9">
      <c r="C69" s="14">
        <v>44013</v>
      </c>
      <c r="D69" s="15">
        <v>6508584.7999999998</v>
      </c>
      <c r="E69" s="15">
        <v>1620266.62</v>
      </c>
      <c r="F69" s="15">
        <v>4888318.18</v>
      </c>
      <c r="G69" s="15">
        <v>0</v>
      </c>
      <c r="H69" s="15">
        <v>4888318.18</v>
      </c>
      <c r="I69" s="16" t="s">
        <v>43</v>
      </c>
    </row>
    <row r="70" spans="3:9">
      <c r="C70" s="14">
        <v>44044</v>
      </c>
      <c r="D70" s="15">
        <v>13146440.880000001</v>
      </c>
      <c r="E70" s="15">
        <v>3748034.4699999997</v>
      </c>
      <c r="F70" s="15">
        <v>9398406.4100000001</v>
      </c>
      <c r="G70" s="15">
        <v>0</v>
      </c>
      <c r="H70" s="15">
        <v>9398406.4100000001</v>
      </c>
      <c r="I70" s="16" t="s">
        <v>43</v>
      </c>
    </row>
    <row r="71" spans="3:9">
      <c r="C71" s="14">
        <v>44075</v>
      </c>
      <c r="D71" s="15">
        <v>32252240.41</v>
      </c>
      <c r="E71" s="15">
        <v>9684952.2299999986</v>
      </c>
      <c r="F71" s="15">
        <v>22567288.18</v>
      </c>
      <c r="G71" s="15">
        <v>0</v>
      </c>
      <c r="H71" s="15">
        <v>22567288.18</v>
      </c>
      <c r="I71" s="16" t="s">
        <v>43</v>
      </c>
    </row>
    <row r="72" spans="3:9">
      <c r="C72" s="14">
        <v>44105</v>
      </c>
      <c r="D72" s="15">
        <v>11936088.68</v>
      </c>
      <c r="E72" s="15">
        <v>3125876.1199999996</v>
      </c>
      <c r="F72" s="15">
        <v>8810212.5600000005</v>
      </c>
      <c r="G72" s="15">
        <v>0</v>
      </c>
      <c r="H72" s="15">
        <v>8810212.5600000005</v>
      </c>
      <c r="I72" s="16" t="s">
        <v>43</v>
      </c>
    </row>
    <row r="73" spans="3:9">
      <c r="C73" s="14">
        <v>44136</v>
      </c>
      <c r="D73" s="15">
        <v>10369035</v>
      </c>
      <c r="E73" s="15">
        <v>2655716.98</v>
      </c>
      <c r="F73" s="15">
        <v>7713318.0199999996</v>
      </c>
      <c r="G73" s="15">
        <v>0</v>
      </c>
      <c r="H73" s="15">
        <v>7713318.0199999996</v>
      </c>
      <c r="I73" s="16" t="s">
        <v>43</v>
      </c>
    </row>
    <row r="74" spans="3:9">
      <c r="C74" s="14">
        <v>44166</v>
      </c>
      <c r="D74" s="15">
        <v>43185998.799999997</v>
      </c>
      <c r="E74" s="15">
        <v>12884124.779999999</v>
      </c>
      <c r="F74" s="15">
        <v>30301874.019999996</v>
      </c>
      <c r="G74" s="15">
        <v>0</v>
      </c>
      <c r="H74" s="15">
        <v>30301874.019999996</v>
      </c>
      <c r="I74" s="16" t="s">
        <v>43</v>
      </c>
    </row>
    <row r="75" spans="3:9">
      <c r="C75" s="14">
        <v>44197</v>
      </c>
      <c r="D75" s="15">
        <v>10801777.060000001</v>
      </c>
      <c r="E75" s="15">
        <v>2839786.25</v>
      </c>
      <c r="F75" s="15">
        <v>7961990.8100000005</v>
      </c>
      <c r="G75" s="15">
        <v>0</v>
      </c>
      <c r="H75" s="15">
        <v>7961990.8100000005</v>
      </c>
      <c r="I75" s="16" t="s">
        <v>43</v>
      </c>
    </row>
    <row r="76" spans="3:9">
      <c r="C76" s="14">
        <v>44228</v>
      </c>
      <c r="D76" s="15">
        <v>14552203</v>
      </c>
      <c r="E76" s="15">
        <v>3613317.8600000003</v>
      </c>
      <c r="F76" s="15">
        <v>10938885.140000001</v>
      </c>
      <c r="G76" s="15">
        <v>0</v>
      </c>
      <c r="H76" s="15">
        <v>10938885.140000001</v>
      </c>
      <c r="I76" s="16" t="s">
        <v>43</v>
      </c>
    </row>
    <row r="77" spans="3:9">
      <c r="C77" s="14">
        <v>44256</v>
      </c>
      <c r="D77" s="15">
        <v>28187530.649999999</v>
      </c>
      <c r="E77" s="15">
        <v>6791751.1899999995</v>
      </c>
      <c r="F77" s="15">
        <v>21395779.460000001</v>
      </c>
      <c r="G77" s="15">
        <v>0</v>
      </c>
      <c r="H77" s="15">
        <v>21395779.460000001</v>
      </c>
      <c r="I77" s="16" t="s">
        <v>43</v>
      </c>
    </row>
    <row r="78" spans="3:9">
      <c r="C78" s="14">
        <v>44287</v>
      </c>
      <c r="D78" s="15">
        <v>14923400.66</v>
      </c>
      <c r="E78" s="15">
        <v>4147515.2699999996</v>
      </c>
      <c r="F78" s="15">
        <v>10775885.390000001</v>
      </c>
      <c r="G78" s="15">
        <v>0</v>
      </c>
      <c r="H78" s="15">
        <v>10775885.390000001</v>
      </c>
      <c r="I78" s="16" t="s">
        <v>43</v>
      </c>
    </row>
    <row r="79" spans="3:9">
      <c r="C79" s="14">
        <v>44317</v>
      </c>
      <c r="D79" s="15">
        <v>21342926.359999999</v>
      </c>
      <c r="E79" s="15">
        <v>6823062.3399999999</v>
      </c>
      <c r="F79" s="15">
        <v>14519864.02</v>
      </c>
      <c r="G79" s="15">
        <v>0</v>
      </c>
      <c r="H79" s="15">
        <v>14519864.02</v>
      </c>
      <c r="I79" s="16" t="s">
        <v>43</v>
      </c>
    </row>
    <row r="80" spans="3:9">
      <c r="C80" s="14">
        <v>44348</v>
      </c>
      <c r="D80" s="15">
        <v>42803839.960000001</v>
      </c>
      <c r="E80" s="15">
        <v>10837824.969999999</v>
      </c>
      <c r="F80" s="15">
        <v>31966014.990000002</v>
      </c>
      <c r="G80" s="15">
        <v>0</v>
      </c>
      <c r="H80" s="15">
        <v>31966014.990000002</v>
      </c>
      <c r="I80" s="16" t="s">
        <v>43</v>
      </c>
    </row>
    <row r="81" spans="3:9">
      <c r="C81" s="14">
        <v>44378</v>
      </c>
      <c r="D81" s="15">
        <v>20828703.490000002</v>
      </c>
      <c r="E81" s="15">
        <v>5550111.8700000001</v>
      </c>
      <c r="F81" s="15">
        <v>15278591.620000001</v>
      </c>
      <c r="G81" s="15">
        <v>0</v>
      </c>
      <c r="H81" s="15">
        <v>15278591.620000001</v>
      </c>
      <c r="I81" s="16" t="s">
        <v>43</v>
      </c>
    </row>
    <row r="82" spans="3:9">
      <c r="C82" s="14">
        <v>44409</v>
      </c>
      <c r="D82" s="15">
        <v>19216483.140000001</v>
      </c>
      <c r="E82" s="15">
        <v>4844530.2399999993</v>
      </c>
      <c r="F82" s="15">
        <v>14371952.900000002</v>
      </c>
      <c r="G82" s="15">
        <v>0</v>
      </c>
      <c r="H82" s="15">
        <v>14371952.900000002</v>
      </c>
      <c r="I82" s="16" t="s">
        <v>43</v>
      </c>
    </row>
    <row r="83" spans="3:9">
      <c r="C83" s="14">
        <v>44440</v>
      </c>
      <c r="D83" s="15">
        <v>35952525.699999996</v>
      </c>
      <c r="E83" s="15">
        <v>10334253.309999999</v>
      </c>
      <c r="F83" s="15">
        <v>25618272.389999997</v>
      </c>
      <c r="G83" s="15">
        <v>0</v>
      </c>
      <c r="H83" s="15">
        <v>25618272.389999997</v>
      </c>
      <c r="I83" s="16" t="s">
        <v>43</v>
      </c>
    </row>
    <row r="84" spans="3:9">
      <c r="C84" s="14">
        <v>44470</v>
      </c>
      <c r="D84" s="15">
        <v>11024401</v>
      </c>
      <c r="E84" s="15">
        <v>2596722.1800000002</v>
      </c>
      <c r="F84" s="15">
        <v>8427678.8200000003</v>
      </c>
      <c r="G84" s="15">
        <v>0</v>
      </c>
      <c r="H84" s="15">
        <v>8427678.8200000003</v>
      </c>
      <c r="I84" s="16" t="s">
        <v>43</v>
      </c>
    </row>
    <row r="85" spans="3:9">
      <c r="C85" s="14">
        <v>44501</v>
      </c>
      <c r="D85" s="15">
        <v>23297452.739999998</v>
      </c>
      <c r="E85" s="15">
        <v>5758677.6800000006</v>
      </c>
      <c r="F85" s="15">
        <v>17538775.059999999</v>
      </c>
      <c r="G85" s="15">
        <v>0</v>
      </c>
      <c r="H85" s="15">
        <v>17538775.059999999</v>
      </c>
      <c r="I85" s="16" t="s">
        <v>43</v>
      </c>
    </row>
    <row r="86" spans="3:9">
      <c r="C86" s="14">
        <v>44531</v>
      </c>
      <c r="D86" s="15">
        <v>71069428.700000003</v>
      </c>
      <c r="E86" s="15">
        <v>19038608.800000001</v>
      </c>
      <c r="F86" s="15">
        <v>52030819.900000006</v>
      </c>
      <c r="G86" s="15">
        <v>0</v>
      </c>
      <c r="H86" s="15">
        <v>52030819.900000006</v>
      </c>
      <c r="I86" s="16" t="s">
        <v>43</v>
      </c>
    </row>
    <row r="87" spans="3:9">
      <c r="C87" s="14">
        <v>44562</v>
      </c>
      <c r="D87" s="15">
        <v>25711551.460000001</v>
      </c>
      <c r="E87" s="15">
        <v>6111906.8999999994</v>
      </c>
      <c r="F87" s="15">
        <v>19599644.560000002</v>
      </c>
      <c r="G87" s="15">
        <v>0</v>
      </c>
      <c r="H87" s="15">
        <v>19599644.560000002</v>
      </c>
      <c r="I87" s="16" t="s">
        <v>43</v>
      </c>
    </row>
    <row r="88" spans="3:9">
      <c r="C88" s="14">
        <v>44593</v>
      </c>
      <c r="D88" s="15">
        <v>23526569.100000001</v>
      </c>
      <c r="E88" s="15">
        <v>5244932.8400000008</v>
      </c>
      <c r="F88" s="15">
        <v>18281636.260000002</v>
      </c>
      <c r="G88" s="15">
        <v>0</v>
      </c>
      <c r="H88" s="15">
        <v>18281636.260000002</v>
      </c>
      <c r="I88" s="16" t="s">
        <v>43</v>
      </c>
    </row>
    <row r="89" spans="3:9">
      <c r="C89" s="14">
        <v>44621</v>
      </c>
      <c r="D89" s="15">
        <v>56009431.979999997</v>
      </c>
      <c r="E89" s="15">
        <v>15056783.350000001</v>
      </c>
      <c r="F89" s="15">
        <v>40952648.629999995</v>
      </c>
      <c r="G89" s="15">
        <v>0</v>
      </c>
      <c r="H89" s="15">
        <v>40952648.629999995</v>
      </c>
      <c r="I89" s="16" t="s">
        <v>43</v>
      </c>
    </row>
    <row r="90" spans="3:9">
      <c r="C90" s="14">
        <v>44652</v>
      </c>
      <c r="D90" s="15">
        <v>15742284.310000001</v>
      </c>
      <c r="E90" s="15">
        <v>3888036.71</v>
      </c>
      <c r="F90" s="15">
        <v>11854247.600000001</v>
      </c>
      <c r="G90" s="15">
        <v>0</v>
      </c>
      <c r="H90" s="15">
        <v>11854247.600000001</v>
      </c>
      <c r="I90" s="16" t="s">
        <v>43</v>
      </c>
    </row>
    <row r="91" spans="3:9">
      <c r="C91" s="14">
        <v>44682</v>
      </c>
      <c r="D91" s="15">
        <v>20111566.199999999</v>
      </c>
      <c r="E91" s="15">
        <v>4903536.49</v>
      </c>
      <c r="F91" s="15">
        <v>15208029.709999999</v>
      </c>
      <c r="G91" s="15">
        <v>0</v>
      </c>
      <c r="H91" s="15">
        <v>15208029.709999999</v>
      </c>
      <c r="I91" s="16" t="s">
        <v>43</v>
      </c>
    </row>
    <row r="92" spans="3:9">
      <c r="C92" s="14">
        <v>44713</v>
      </c>
      <c r="D92" s="15">
        <v>66484678.690000005</v>
      </c>
      <c r="E92" s="15">
        <v>17014171.919999998</v>
      </c>
      <c r="F92" s="15">
        <v>49470506.770000011</v>
      </c>
      <c r="G92" s="15">
        <v>0</v>
      </c>
      <c r="H92" s="15">
        <v>49470506.770000011</v>
      </c>
      <c r="I92" s="16" t="s">
        <v>43</v>
      </c>
    </row>
    <row r="93" spans="3:9">
      <c r="C93" s="14">
        <v>44743</v>
      </c>
      <c r="D93" s="15">
        <v>15229717.459999999</v>
      </c>
      <c r="E93" s="15">
        <v>3386555.66</v>
      </c>
      <c r="F93" s="15">
        <v>11843161.799999999</v>
      </c>
      <c r="G93" s="15">
        <v>0</v>
      </c>
      <c r="H93" s="15">
        <v>11843161.799999999</v>
      </c>
      <c r="I93" s="16" t="s">
        <v>43</v>
      </c>
    </row>
    <row r="94" spans="3:9">
      <c r="C94" s="14">
        <v>44774</v>
      </c>
      <c r="D94" s="15">
        <v>35254581.799999997</v>
      </c>
      <c r="E94" s="15">
        <v>7255400.3600000003</v>
      </c>
      <c r="F94" s="15">
        <v>27999181.439999998</v>
      </c>
      <c r="G94" s="15">
        <v>0</v>
      </c>
      <c r="H94" s="15">
        <v>27999181.439999998</v>
      </c>
      <c r="I94" s="16" t="s">
        <v>43</v>
      </c>
    </row>
    <row r="95" spans="3:9">
      <c r="C95" s="14">
        <v>44805</v>
      </c>
      <c r="D95" s="15">
        <v>81935413</v>
      </c>
      <c r="E95" s="15">
        <v>19659547.739999998</v>
      </c>
      <c r="F95" s="15">
        <v>62275865.260000005</v>
      </c>
      <c r="G95" s="15">
        <v>0</v>
      </c>
      <c r="H95" s="15">
        <v>62275865.260000005</v>
      </c>
      <c r="I95" s="16" t="s">
        <v>43</v>
      </c>
    </row>
    <row r="96" spans="3:9">
      <c r="C96" s="14">
        <v>44835</v>
      </c>
      <c r="D96" s="15">
        <v>20900449.93</v>
      </c>
      <c r="E96" s="15">
        <v>4575956.47</v>
      </c>
      <c r="F96" s="15">
        <v>16324493.460000001</v>
      </c>
      <c r="G96" s="15">
        <v>0</v>
      </c>
      <c r="H96" s="15">
        <v>16324493.460000001</v>
      </c>
      <c r="I96" s="16" t="s">
        <v>43</v>
      </c>
    </row>
    <row r="97" spans="3:9">
      <c r="C97" s="14">
        <v>44866</v>
      </c>
      <c r="D97" s="15">
        <v>43845537.270000003</v>
      </c>
      <c r="E97" s="15">
        <v>7957090.2300000004</v>
      </c>
      <c r="F97" s="15">
        <v>35888447.040000007</v>
      </c>
      <c r="G97" s="15">
        <v>1</v>
      </c>
      <c r="H97" s="15">
        <v>35888446.040000007</v>
      </c>
      <c r="I97" s="16" t="s">
        <v>43</v>
      </c>
    </row>
    <row r="98" spans="3:9">
      <c r="C98" s="14">
        <v>44896</v>
      </c>
      <c r="D98" s="15">
        <v>83947656.370000005</v>
      </c>
      <c r="E98" s="15">
        <v>20252006.200000003</v>
      </c>
      <c r="F98" s="15">
        <v>63695650.170000002</v>
      </c>
      <c r="G98" s="15">
        <v>0</v>
      </c>
      <c r="H98" s="15">
        <v>63695650.170000002</v>
      </c>
      <c r="I98" s="16" t="s">
        <v>43</v>
      </c>
    </row>
    <row r="99" spans="3:9">
      <c r="C99" s="14">
        <v>44927</v>
      </c>
      <c r="D99" s="15">
        <v>23847072.780000001</v>
      </c>
      <c r="E99" s="15">
        <v>4493277.41</v>
      </c>
      <c r="F99" s="15">
        <v>19353795.370000001</v>
      </c>
      <c r="G99" s="15">
        <v>1</v>
      </c>
      <c r="H99" s="15">
        <v>19353794.370000001</v>
      </c>
      <c r="I99" s="16" t="s">
        <v>43</v>
      </c>
    </row>
    <row r="100" spans="3:9">
      <c r="C100" s="14">
        <v>44958</v>
      </c>
      <c r="D100" s="15">
        <v>35326768.409999996</v>
      </c>
      <c r="E100" s="15">
        <v>9271269.9599999972</v>
      </c>
      <c r="F100" s="15">
        <v>26055498.449999999</v>
      </c>
      <c r="G100" s="15">
        <v>2</v>
      </c>
      <c r="H100" s="15">
        <v>26055496.449999999</v>
      </c>
      <c r="I100" s="16" t="s">
        <v>43</v>
      </c>
    </row>
    <row r="101" spans="3:9">
      <c r="C101" s="14">
        <v>44986</v>
      </c>
      <c r="D101" s="15">
        <v>81128520.940000013</v>
      </c>
      <c r="E101" s="15">
        <v>21770871.150000002</v>
      </c>
      <c r="F101" s="15">
        <v>59357649.790000007</v>
      </c>
      <c r="G101" s="15">
        <v>0</v>
      </c>
      <c r="H101" s="15">
        <v>59357649.790000007</v>
      </c>
      <c r="I101" s="16" t="s">
        <v>43</v>
      </c>
    </row>
    <row r="102" spans="3:9">
      <c r="C102" s="14">
        <v>45017</v>
      </c>
      <c r="D102" s="15">
        <v>29904052.690000001</v>
      </c>
      <c r="E102" s="15">
        <v>8237133.9999999991</v>
      </c>
      <c r="F102" s="15">
        <v>21666918.690000001</v>
      </c>
      <c r="G102" s="15">
        <v>0</v>
      </c>
      <c r="H102" s="15">
        <v>21666918.690000001</v>
      </c>
      <c r="I102" s="16" t="s">
        <v>43</v>
      </c>
    </row>
    <row r="103" spans="3:9">
      <c r="C103" s="14">
        <v>45047</v>
      </c>
      <c r="D103" s="15">
        <v>50811050.770000003</v>
      </c>
      <c r="E103" s="15">
        <v>12875098.440000001</v>
      </c>
      <c r="F103" s="15">
        <v>37935952.329999998</v>
      </c>
      <c r="G103" s="15">
        <v>0</v>
      </c>
      <c r="H103" s="15">
        <v>37935952.329999998</v>
      </c>
      <c r="I103" s="16" t="s">
        <v>43</v>
      </c>
    </row>
    <row r="104" spans="3:9">
      <c r="C104" s="14">
        <v>45078</v>
      </c>
      <c r="D104" s="15">
        <v>60928226.899999999</v>
      </c>
      <c r="E104" s="15">
        <v>15018509.73</v>
      </c>
      <c r="F104" s="15">
        <v>45909717.170000002</v>
      </c>
      <c r="G104" s="15">
        <v>0</v>
      </c>
      <c r="H104" s="15">
        <v>45909717.170000002</v>
      </c>
      <c r="I104" s="16" t="s">
        <v>43</v>
      </c>
    </row>
    <row r="105" spans="3:9">
      <c r="C105" s="14">
        <v>45108</v>
      </c>
      <c r="D105" s="15">
        <v>25758904.879999999</v>
      </c>
      <c r="E105" s="15">
        <v>6243649.9499999993</v>
      </c>
      <c r="F105" s="15">
        <v>19515254.93</v>
      </c>
      <c r="G105" s="15">
        <v>0</v>
      </c>
      <c r="H105" s="15">
        <v>19515254.93</v>
      </c>
      <c r="I105" s="16" t="s">
        <v>43</v>
      </c>
    </row>
    <row r="106" spans="3:9">
      <c r="C106" s="14">
        <v>45139</v>
      </c>
      <c r="D106" s="15">
        <v>49592978.969999999</v>
      </c>
      <c r="E106" s="15">
        <v>12477689.920000002</v>
      </c>
      <c r="F106" s="15">
        <v>37115289.049999997</v>
      </c>
      <c r="G106" s="15">
        <v>0</v>
      </c>
      <c r="H106" s="15">
        <v>37115289.049999997</v>
      </c>
      <c r="I106" s="16" t="s">
        <v>43</v>
      </c>
    </row>
    <row r="107" spans="3:9">
      <c r="C107" s="14">
        <v>45170</v>
      </c>
      <c r="D107" s="15">
        <v>59732475.120000005</v>
      </c>
      <c r="E107" s="15">
        <v>14878117.900000002</v>
      </c>
      <c r="F107" s="15">
        <v>44854357.219999999</v>
      </c>
      <c r="G107" s="15">
        <v>0</v>
      </c>
      <c r="H107" s="15">
        <v>44854357.219999999</v>
      </c>
      <c r="I107" s="16" t="s">
        <v>43</v>
      </c>
    </row>
    <row r="108" spans="3:9">
      <c r="C108" s="14">
        <v>45200</v>
      </c>
      <c r="D108" s="15">
        <v>30247370.629999999</v>
      </c>
      <c r="E108" s="15">
        <v>6394099.3600000003</v>
      </c>
      <c r="F108" s="15">
        <v>23853271.27</v>
      </c>
      <c r="G108" s="15">
        <v>0</v>
      </c>
      <c r="H108" s="15">
        <v>23853271.27</v>
      </c>
      <c r="I108" s="16" t="s">
        <v>43</v>
      </c>
    </row>
    <row r="109" spans="3:9">
      <c r="C109" s="14">
        <v>45231</v>
      </c>
      <c r="D109" s="15">
        <v>43248262.779999994</v>
      </c>
      <c r="E109" s="15">
        <v>10112081.59</v>
      </c>
      <c r="F109" s="15">
        <v>33136181.189999994</v>
      </c>
      <c r="G109" s="15">
        <v>0</v>
      </c>
      <c r="H109" s="15">
        <v>33136181.189999994</v>
      </c>
      <c r="I109" s="16" t="s">
        <v>43</v>
      </c>
    </row>
    <row r="110" spans="3:9">
      <c r="C110" s="14">
        <v>45261</v>
      </c>
      <c r="D110" s="15">
        <v>68726650.030000001</v>
      </c>
      <c r="E110" s="15">
        <v>16321664.83</v>
      </c>
      <c r="F110" s="15">
        <v>52404985.200000003</v>
      </c>
      <c r="G110" s="15">
        <v>1</v>
      </c>
      <c r="H110" s="15">
        <v>52404984.200000003</v>
      </c>
      <c r="I110" s="16" t="s">
        <v>43</v>
      </c>
    </row>
    <row r="111" spans="3:9">
      <c r="C111" s="14">
        <v>45292</v>
      </c>
      <c r="D111" s="15">
        <v>16507839.529999999</v>
      </c>
      <c r="E111" s="15">
        <v>4652676.3599999994</v>
      </c>
      <c r="F111" s="15">
        <v>11855163.17</v>
      </c>
      <c r="G111" s="15">
        <v>0</v>
      </c>
      <c r="H111" s="15">
        <v>11855163.17</v>
      </c>
      <c r="I111" s="16" t="s">
        <v>43</v>
      </c>
    </row>
    <row r="112" spans="3:9">
      <c r="C112" s="14">
        <v>45323</v>
      </c>
      <c r="D112" s="15">
        <v>28887225.809999999</v>
      </c>
      <c r="E112" s="15">
        <v>6883303.6200000001</v>
      </c>
      <c r="F112" s="15">
        <v>22003922.189999998</v>
      </c>
      <c r="G112" s="15">
        <v>0</v>
      </c>
      <c r="H112" s="15">
        <v>22003922.189999998</v>
      </c>
      <c r="I112" s="16" t="s">
        <v>43</v>
      </c>
    </row>
    <row r="113" spans="3:9">
      <c r="C113" s="14">
        <v>45352</v>
      </c>
      <c r="D113" s="15">
        <v>69296917.159999996</v>
      </c>
      <c r="E113" s="15">
        <v>17550994.010000002</v>
      </c>
      <c r="F113" s="15">
        <v>51745923.149999991</v>
      </c>
      <c r="G113" s="15">
        <v>0</v>
      </c>
      <c r="H113" s="15">
        <v>51745923.149999991</v>
      </c>
      <c r="I113" s="16" t="s">
        <v>43</v>
      </c>
    </row>
    <row r="114" spans="3:9">
      <c r="C114" s="14">
        <v>45383</v>
      </c>
      <c r="D114" s="15">
        <v>19630060.760000002</v>
      </c>
      <c r="E114" s="15">
        <v>5094493.959999999</v>
      </c>
      <c r="F114" s="15">
        <v>14535566.800000003</v>
      </c>
      <c r="G114" s="15">
        <v>0</v>
      </c>
      <c r="H114" s="15">
        <v>14535566.800000003</v>
      </c>
      <c r="I114" s="16" t="s">
        <v>43</v>
      </c>
    </row>
    <row r="115" spans="3:9">
      <c r="C115" s="14">
        <v>45413</v>
      </c>
      <c r="D115" s="15">
        <v>25424096.18</v>
      </c>
      <c r="E115" s="15">
        <v>7460820.8300000001</v>
      </c>
      <c r="F115" s="15">
        <v>17963275.350000001</v>
      </c>
      <c r="G115" s="15">
        <v>0</v>
      </c>
      <c r="H115" s="15">
        <v>17963275.350000001</v>
      </c>
      <c r="I115" s="16" t="s">
        <v>43</v>
      </c>
    </row>
    <row r="116" spans="3:9">
      <c r="C116" s="14">
        <v>45444</v>
      </c>
      <c r="D116" s="15">
        <v>72487666.5</v>
      </c>
      <c r="E116" s="15">
        <v>21001170.280000001</v>
      </c>
      <c r="F116" s="15">
        <v>51486496.219999999</v>
      </c>
      <c r="G116" s="15">
        <v>0</v>
      </c>
      <c r="H116" s="15">
        <v>51486496.219999999</v>
      </c>
      <c r="I116" s="16" t="s">
        <v>43</v>
      </c>
    </row>
    <row r="117" spans="3:9">
      <c r="C117" s="14">
        <v>45474</v>
      </c>
      <c r="D117" s="15">
        <v>17828404.370000001</v>
      </c>
      <c r="E117" s="15">
        <v>3127999.21</v>
      </c>
      <c r="F117" s="15">
        <v>14700405.16</v>
      </c>
      <c r="G117" s="15">
        <v>0</v>
      </c>
      <c r="H117" s="15">
        <v>14700405.16</v>
      </c>
      <c r="I117" s="16" t="s">
        <v>43</v>
      </c>
    </row>
    <row r="118" spans="3:9">
      <c r="C118" s="14">
        <v>45505</v>
      </c>
      <c r="D118" s="15">
        <v>33203365.469999999</v>
      </c>
      <c r="E118" s="15">
        <v>6293990.3399999989</v>
      </c>
      <c r="F118" s="15">
        <v>26909375.129999999</v>
      </c>
      <c r="G118" s="15">
        <v>0</v>
      </c>
      <c r="H118" s="15">
        <v>26909375.129999999</v>
      </c>
      <c r="I118" s="16" t="s">
        <v>43</v>
      </c>
    </row>
    <row r="119" spans="3:9">
      <c r="C119" s="14">
        <v>45536</v>
      </c>
      <c r="D119" s="15">
        <v>68146868.069999993</v>
      </c>
      <c r="E119" s="15">
        <v>15999741.67</v>
      </c>
      <c r="F119" s="15">
        <v>52147126.399999991</v>
      </c>
      <c r="G119" s="15">
        <v>0</v>
      </c>
      <c r="H119" s="15">
        <v>52147126.399999991</v>
      </c>
      <c r="I119" s="16" t="s">
        <v>43</v>
      </c>
    </row>
    <row r="120" spans="3:9">
      <c r="C120" s="14">
        <v>45566</v>
      </c>
      <c r="D120" s="15">
        <v>24321512.41</v>
      </c>
      <c r="E120" s="15">
        <v>6059769.6099999994</v>
      </c>
      <c r="F120" s="15">
        <v>18261742.800000001</v>
      </c>
      <c r="G120" s="15">
        <v>0</v>
      </c>
      <c r="H120" s="15">
        <v>18261742.800000001</v>
      </c>
      <c r="I120" s="16" t="s">
        <v>43</v>
      </c>
    </row>
    <row r="121" spans="3:9">
      <c r="C121" s="14">
        <v>45597</v>
      </c>
      <c r="D121" s="15">
        <v>35349291.630000003</v>
      </c>
      <c r="E121" s="15">
        <v>7728167.4199999999</v>
      </c>
      <c r="F121" s="15">
        <v>27621124.210000001</v>
      </c>
      <c r="G121" s="15">
        <v>0</v>
      </c>
      <c r="H121" s="15">
        <v>27621124.210000001</v>
      </c>
      <c r="I121" s="16" t="s">
        <v>43</v>
      </c>
    </row>
    <row r="122" spans="3:9">
      <c r="C122" s="14">
        <v>45627</v>
      </c>
      <c r="D122" s="15">
        <v>121514611.42999999</v>
      </c>
      <c r="E122" s="15">
        <v>34602766.640000008</v>
      </c>
      <c r="F122" s="15">
        <v>86911844.789999992</v>
      </c>
      <c r="G122" s="15">
        <v>0</v>
      </c>
      <c r="H122" s="15">
        <v>86911844.789999992</v>
      </c>
      <c r="I122" s="16" t="s">
        <v>43</v>
      </c>
    </row>
    <row r="123" spans="3:9">
      <c r="C123" s="14">
        <v>45658</v>
      </c>
      <c r="D123" s="15">
        <v>13883295.869999999</v>
      </c>
      <c r="E123" s="15">
        <v>3534895.2300000004</v>
      </c>
      <c r="F123" s="15">
        <v>10348400.639999999</v>
      </c>
      <c r="G123" s="15">
        <v>0</v>
      </c>
      <c r="H123" s="15">
        <v>10348400.639999999</v>
      </c>
      <c r="I123" s="16" t="s">
        <v>43</v>
      </c>
    </row>
    <row r="124" spans="3:9">
      <c r="C124" s="14">
        <v>45689</v>
      </c>
      <c r="D124" s="15">
        <v>28680188.699999999</v>
      </c>
      <c r="E124" s="15">
        <v>8319033.3200000012</v>
      </c>
      <c r="F124" s="15">
        <v>20361155.379999999</v>
      </c>
      <c r="G124" s="15">
        <v>0</v>
      </c>
      <c r="H124" s="15">
        <v>20361155.379999999</v>
      </c>
      <c r="I124" s="16" t="s">
        <v>43</v>
      </c>
    </row>
    <row r="125" spans="3:9">
      <c r="C125" s="14">
        <v>45717</v>
      </c>
      <c r="D125" s="15">
        <v>65054350.189999998</v>
      </c>
      <c r="E125" s="15">
        <v>17481764.149999999</v>
      </c>
      <c r="F125" s="15">
        <v>47572586.039999999</v>
      </c>
      <c r="G125" s="15">
        <v>0</v>
      </c>
      <c r="H125" s="15">
        <v>47572586.039999999</v>
      </c>
      <c r="I125" s="16" t="s">
        <v>43</v>
      </c>
    </row>
    <row r="126" spans="3:9">
      <c r="C126" s="14">
        <v>45748</v>
      </c>
      <c r="D126" s="15">
        <v>12367334.73</v>
      </c>
      <c r="E126" s="15">
        <v>3887789.1600000006</v>
      </c>
      <c r="F126" s="15">
        <v>8479545.5700000003</v>
      </c>
      <c r="G126" s="15">
        <v>0</v>
      </c>
      <c r="H126" s="15">
        <v>8479545.5700000003</v>
      </c>
      <c r="I126" s="16" t="s">
        <v>43</v>
      </c>
    </row>
    <row r="127" spans="3:9">
      <c r="C127" s="14">
        <v>45778</v>
      </c>
      <c r="D127" s="15">
        <v>25066078.210000001</v>
      </c>
      <c r="E127" s="15">
        <v>6567825.0999999996</v>
      </c>
      <c r="F127" s="15">
        <v>18498253.109999999</v>
      </c>
      <c r="G127" s="15">
        <v>0</v>
      </c>
      <c r="H127" s="15">
        <v>18498253.109999999</v>
      </c>
      <c r="I127" s="16" t="s">
        <v>43</v>
      </c>
    </row>
    <row r="128" spans="3:9">
      <c r="C128" s="14">
        <v>45809</v>
      </c>
      <c r="D128" s="15">
        <v>61550980.32</v>
      </c>
      <c r="E128" s="15">
        <v>18248166.669999998</v>
      </c>
      <c r="F128" s="15">
        <v>43302813.650000006</v>
      </c>
      <c r="G128" s="15">
        <v>0</v>
      </c>
      <c r="H128" s="15">
        <v>43302813.650000006</v>
      </c>
      <c r="I128" s="16" t="s">
        <v>43</v>
      </c>
    </row>
    <row r="129" spans="3:9">
      <c r="C129" s="14">
        <v>45839</v>
      </c>
      <c r="D129" s="15">
        <v>18987055.039999999</v>
      </c>
      <c r="E129" s="15">
        <v>5009594.7799999993</v>
      </c>
      <c r="F129" s="15">
        <v>13977460.26</v>
      </c>
      <c r="G129" s="15">
        <v>0</v>
      </c>
      <c r="H129" s="15">
        <v>13977460.26</v>
      </c>
      <c r="I129" s="16" t="s">
        <v>43</v>
      </c>
    </row>
    <row r="130" spans="3:9">
      <c r="C130" s="14">
        <v>45870</v>
      </c>
      <c r="D130" s="15">
        <v>42060688.770000003</v>
      </c>
      <c r="E130" s="15">
        <v>9010715.1399999987</v>
      </c>
      <c r="F130" s="15">
        <v>33049973.630000003</v>
      </c>
      <c r="G130" s="15">
        <v>0</v>
      </c>
      <c r="H130" s="15">
        <v>33049973.630000003</v>
      </c>
      <c r="I130" s="16" t="s">
        <v>43</v>
      </c>
    </row>
    <row r="131" spans="3:9">
      <c r="C131" s="14">
        <v>45901</v>
      </c>
      <c r="D131" s="15">
        <v>69495845.959999993</v>
      </c>
      <c r="E131" s="15">
        <v>17800299</v>
      </c>
      <c r="F131" s="15">
        <v>51695546.959999993</v>
      </c>
      <c r="G131" s="15">
        <v>0</v>
      </c>
      <c r="H131" s="15">
        <v>51695546.959999993</v>
      </c>
      <c r="I131" s="16" t="s">
        <v>43</v>
      </c>
    </row>
    <row r="132" spans="3:9">
      <c r="C132" s="14">
        <v>45931</v>
      </c>
      <c r="D132" s="15">
        <v>32301092.830000002</v>
      </c>
      <c r="E132" s="15">
        <v>7951970.2400000002</v>
      </c>
      <c r="F132" s="15">
        <v>24349122.590000004</v>
      </c>
      <c r="G132" s="15">
        <v>0</v>
      </c>
      <c r="H132" s="15">
        <v>24349122.590000004</v>
      </c>
      <c r="I132" s="16" t="s">
        <v>43</v>
      </c>
    </row>
    <row r="133" spans="3:9">
      <c r="C133" s="14">
        <v>45962</v>
      </c>
      <c r="D133" s="15">
        <v>42396059.239999995</v>
      </c>
      <c r="E133" s="15">
        <v>9351362.4000000004</v>
      </c>
      <c r="F133" s="15">
        <v>33044696.839999996</v>
      </c>
      <c r="G133" s="15">
        <v>1</v>
      </c>
      <c r="H133" s="15">
        <v>33044695.839999996</v>
      </c>
      <c r="I133" s="16" t="s">
        <v>43</v>
      </c>
    </row>
    <row r="134" spans="3:9">
      <c r="C134" s="14">
        <v>45992</v>
      </c>
      <c r="D134" s="15">
        <v>110164029.27000001</v>
      </c>
      <c r="E134" s="15">
        <v>22943561.890000004</v>
      </c>
      <c r="F134" s="15">
        <v>87220467.38000001</v>
      </c>
      <c r="G134" s="15">
        <v>2</v>
      </c>
      <c r="H134" s="15">
        <v>87220465.38000001</v>
      </c>
      <c r="I134" s="16" t="s">
        <v>43</v>
      </c>
    </row>
  </sheetData>
  <mergeCells count="2">
    <mergeCell ref="C2:N2"/>
    <mergeCell ref="O2:R2"/>
  </mergeCells>
  <phoneticPr fontId="8" type="noConversion"/>
  <pageMargins left="0.7" right="0.7" top="0.75" bottom="0.75" header="0.3" footer="0.3"/>
  <pageSetup orientation="portrait" r:id="rId1"/>
  <customProperties>
    <customPr name="_pios_id" r:id="rId2"/>
    <customPr name="EpmWorksheetKeyString_GUID" r:id="rId3"/>
    <customPr name="FPMExcelClientCellBasedFunctionStatus" r:id="rId4"/>
    <customPr name="FPMExcelClientRefreshTime" r:id="rId5"/>
  </customProperties>
  <drawing r:id="rId6"/>
  <legacyDrawing r:id="rId7"/>
  <controls>
    <mc:AlternateContent xmlns:mc="http://schemas.openxmlformats.org/markup-compatibility/2006">
      <mc:Choice Requires="x14">
        <control shapeId="3073" r:id="rId8" name="FPMExcelClientSheetOptions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3073" r:id="rId8" name="FPMExcelClientSheetOptions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76"/>
  <sheetViews>
    <sheetView topLeftCell="BT1" zoomScale="70" zoomScaleNormal="70" workbookViewId="0">
      <selection activeCell="CG11" sqref="CG11"/>
    </sheetView>
  </sheetViews>
  <sheetFormatPr defaultRowHeight="15"/>
  <cols>
    <col min="1" max="1" width="45.42578125" bestFit="1" customWidth="1"/>
    <col min="2" max="3" width="16.42578125" hidden="1" customWidth="1"/>
    <col min="4" max="4" width="17.5703125" hidden="1" customWidth="1"/>
    <col min="5" max="5" width="16.5703125" hidden="1" customWidth="1"/>
    <col min="6" max="6" width="17.85546875" hidden="1" customWidth="1"/>
    <col min="7" max="7" width="16.42578125" hidden="1" customWidth="1"/>
    <col min="8" max="8" width="15.42578125" hidden="1" customWidth="1"/>
    <col min="9" max="9" width="17.42578125" hidden="1" customWidth="1"/>
    <col min="10" max="10" width="16.42578125" hidden="1" customWidth="1"/>
    <col min="11" max="11" width="16.5703125" hidden="1" customWidth="1"/>
    <col min="12" max="12" width="17.85546875" hidden="1" customWidth="1"/>
    <col min="13" max="13" width="16.5703125" hidden="1" customWidth="1"/>
    <col min="14" max="15" width="16.42578125" hidden="1" customWidth="1"/>
    <col min="16" max="16" width="17.5703125" hidden="1" customWidth="1"/>
    <col min="17" max="17" width="16.5703125" hidden="1" customWidth="1"/>
    <col min="18" max="18" width="17.85546875" hidden="1" customWidth="1"/>
    <col min="19" max="19" width="16.42578125" hidden="1" customWidth="1"/>
    <col min="20" max="20" width="15.42578125" hidden="1" customWidth="1"/>
    <col min="21" max="21" width="17.42578125" hidden="1" customWidth="1"/>
    <col min="22" max="22" width="16.42578125" hidden="1" customWidth="1"/>
    <col min="23" max="23" width="16.5703125" hidden="1" customWidth="1"/>
    <col min="24" max="24" width="17.85546875" hidden="1" customWidth="1"/>
    <col min="25" max="25" width="16.5703125" hidden="1" customWidth="1"/>
    <col min="26" max="27" width="16.42578125" hidden="1" customWidth="1"/>
    <col min="28" max="28" width="17.5703125" hidden="1" customWidth="1"/>
    <col min="29" max="29" width="16.5703125" hidden="1" customWidth="1"/>
    <col min="30" max="30" width="17.85546875" hidden="1" customWidth="1"/>
    <col min="31" max="31" width="16.42578125" hidden="1" customWidth="1"/>
    <col min="32" max="32" width="15.42578125" hidden="1" customWidth="1"/>
    <col min="33" max="33" width="17.42578125" hidden="1" customWidth="1"/>
    <col min="34" max="34" width="16.42578125" hidden="1" customWidth="1"/>
    <col min="35" max="35" width="16.5703125" hidden="1" customWidth="1"/>
    <col min="36" max="36" width="17.85546875" hidden="1" customWidth="1"/>
    <col min="37" max="37" width="16.5703125" hidden="1" customWidth="1"/>
    <col min="38" max="39" width="16.42578125" hidden="1" customWidth="1"/>
    <col min="40" max="40" width="17.5703125" hidden="1" customWidth="1"/>
    <col min="41" max="41" width="16.5703125" hidden="1" customWidth="1"/>
    <col min="42" max="42" width="17.85546875" hidden="1" customWidth="1"/>
    <col min="43" max="43" width="16.42578125" hidden="1" customWidth="1"/>
    <col min="44" max="44" width="15.42578125" hidden="1" customWidth="1"/>
    <col min="45" max="45" width="17.42578125" hidden="1" customWidth="1"/>
    <col min="46" max="46" width="16.42578125" hidden="1" customWidth="1"/>
    <col min="47" max="47" width="16.5703125" hidden="1" customWidth="1"/>
    <col min="48" max="48" width="17.85546875" hidden="1" customWidth="1"/>
    <col min="49" max="49" width="16.5703125" hidden="1" customWidth="1"/>
    <col min="50" max="51" width="16.42578125" hidden="1" customWidth="1"/>
    <col min="52" max="52" width="17.5703125" hidden="1" customWidth="1"/>
    <col min="53" max="53" width="16.5703125" hidden="1" customWidth="1"/>
    <col min="54" max="54" width="17.85546875" hidden="1" customWidth="1"/>
    <col min="55" max="55" width="16.42578125" hidden="1" customWidth="1"/>
    <col min="56" max="56" width="18.7109375" bestFit="1" customWidth="1"/>
    <col min="57" max="57" width="20.7109375" bestFit="1" customWidth="1"/>
    <col min="58" max="58" width="20.28515625" bestFit="1" customWidth="1"/>
    <col min="59" max="59" width="20.140625" bestFit="1" customWidth="1"/>
    <col min="60" max="60" width="20.5703125" bestFit="1" customWidth="1"/>
    <col min="61" max="61" width="20.28515625" bestFit="1" customWidth="1"/>
    <col min="62" max="62" width="19.7109375" bestFit="1" customWidth="1"/>
    <col min="63" max="63" width="20" bestFit="1" customWidth="1"/>
    <col min="64" max="64" width="20.28515625" bestFit="1" customWidth="1"/>
    <col min="65" max="65" width="20" bestFit="1" customWidth="1"/>
    <col min="66" max="66" width="20.7109375" bestFit="1" customWidth="1"/>
    <col min="67" max="67" width="19.7109375" bestFit="1" customWidth="1"/>
    <col min="68" max="68" width="18.7109375" bestFit="1" customWidth="1"/>
    <col min="69" max="69" width="20.7109375" bestFit="1" customWidth="1"/>
    <col min="70" max="70" width="20.28515625" bestFit="1" customWidth="1"/>
    <col min="71" max="71" width="20.140625" bestFit="1" customWidth="1"/>
    <col min="72" max="72" width="20.5703125" bestFit="1" customWidth="1"/>
    <col min="73" max="73" width="20.28515625" bestFit="1" customWidth="1"/>
    <col min="74" max="74" width="19.7109375" bestFit="1" customWidth="1"/>
    <col min="75" max="75" width="20" bestFit="1" customWidth="1"/>
    <col min="76" max="76" width="20.28515625" bestFit="1" customWidth="1"/>
    <col min="77" max="77" width="20" bestFit="1" customWidth="1"/>
    <col min="78" max="78" width="20.7109375" bestFit="1" customWidth="1"/>
    <col min="79" max="79" width="19.7109375" bestFit="1" customWidth="1"/>
    <col min="80" max="80" width="18.7109375" bestFit="1" customWidth="1"/>
    <col min="81" max="81" width="20.7109375" bestFit="1" customWidth="1"/>
    <col min="82" max="82" width="20.28515625" bestFit="1" customWidth="1"/>
    <col min="83" max="83" width="20.140625" bestFit="1" customWidth="1"/>
    <col min="84" max="84" width="20.5703125" bestFit="1" customWidth="1"/>
    <col min="85" max="85" width="20.28515625" bestFit="1" customWidth="1"/>
  </cols>
  <sheetData>
    <row r="1" spans="1:85">
      <c r="A1" t="str">
        <f xml:space="preserve"> _xll.EPMOlapMemberO("[PROFITCENTER].[PARENTH1].[01NAMGMINT01]","","01NAMGMINT01 - North America Gaming","","000")</f>
        <v>01NAMGMINT01 - North America Gaming</v>
      </c>
    </row>
    <row r="2" spans="1:85">
      <c r="A2" t="str">
        <f xml:space="preserve"> _xll.EPMOlapMemberO("[PROBABILITY].[PARENTH2].[PLAN]","","Plan","","000")</f>
        <v>Plan</v>
      </c>
    </row>
    <row r="3" spans="1:85">
      <c r="A3" t="str">
        <f xml:space="preserve"> _xll.EPMOlapMemberO("[FUNCTIONALAREA].[PARENTH2].[PROD]","","PROD - Product","","000")</f>
        <v>PROD - Product</v>
      </c>
    </row>
    <row r="4" spans="1:85">
      <c r="A4" t="str">
        <f xml:space="preserve"> _xll.EPMOlapMemberO("[VERSION].[PARENTH1].[ACTUAL]","","Actual","","000")</f>
        <v>Actual</v>
      </c>
    </row>
    <row r="5" spans="1:85">
      <c r="A5" t="str">
        <f xml:space="preserve"> _xll.EPMOlapMemberO("[INPUTCURRENCY].[PARENTH1].[30]","","USD","","000")</f>
        <v>USD</v>
      </c>
    </row>
    <row r="6" spans="1:85">
      <c r="A6" t="str">
        <f xml:space="preserve"> _xll.EPMOlapMemberO("[GAME].[PARENTH1].[ALL_GAME]","","All Games","","000")</f>
        <v>All Games</v>
      </c>
    </row>
    <row r="7" spans="1:85">
      <c r="A7" t="str">
        <f xml:space="preserve"> _xll.EPMOlapMemberO("[PRODUCT].[PARENTH1].[ALL_PROD]","","All Products","","000")</f>
        <v>All Products</v>
      </c>
    </row>
    <row r="8" spans="1:85">
      <c r="A8" t="str">
        <f xml:space="preserve"> _xll.EPMOlapMemberO("[MEASURES].[].[PERIODIC]","","Periodic","","000")</f>
        <v>Periodic</v>
      </c>
    </row>
    <row r="10" spans="1:85">
      <c r="B10" t="str">
        <f xml:space="preserve"> _xll.EPMOlapMemberO("[TIME].[PARENTH1].[2019.JAN]","","2019.JAN - Jan-19","","000")</f>
        <v>2019.JAN - Jan-19</v>
      </c>
      <c r="C10" t="str">
        <f xml:space="preserve"> _xll.EPMOlapMemberO("[TIME].[PARENTH1].[2019.FEB]","","2019.FEB - Feb-19","","000")</f>
        <v>2019.FEB - Feb-19</v>
      </c>
      <c r="D10" t="str">
        <f xml:space="preserve"> _xll.EPMOlapMemberO("[TIME].[PARENTH1].[2019.MAR]","","2019.MAR - Mar-19","","000")</f>
        <v>2019.MAR - Mar-19</v>
      </c>
      <c r="E10" t="str">
        <f xml:space="preserve"> _xll.EPMOlapMemberO("[TIME].[PARENTH1].[2019.APR]","","2019.APR - Apr-19","","000")</f>
        <v>2019.APR - Apr-19</v>
      </c>
      <c r="F10" t="str">
        <f xml:space="preserve"> _xll.EPMOlapMemberO("[TIME].[PARENTH1].[2019.MAY]","","2019.MAY - May-19","","000")</f>
        <v>2019.MAY - May-19</v>
      </c>
      <c r="G10" t="str">
        <f xml:space="preserve"> _xll.EPMOlapMemberO("[TIME].[PARENTH1].[2019.JUN]","","2019.JUN - Jun-19","","000")</f>
        <v>2019.JUN - Jun-19</v>
      </c>
      <c r="H10" t="str">
        <f xml:space="preserve"> _xll.EPMOlapMemberO("[TIME].[PARENTH1].[2019.JUL]","","2019.JUL - Jul-19","","000")</f>
        <v>2019.JUL - Jul-19</v>
      </c>
      <c r="I10" t="str">
        <f xml:space="preserve"> _xll.EPMOlapMemberO("[TIME].[PARENTH1].[2019.AUG]","","2019.AUG - Aug-19","","000")</f>
        <v>2019.AUG - Aug-19</v>
      </c>
      <c r="J10" t="str">
        <f xml:space="preserve"> _xll.EPMOlapMemberO("[TIME].[PARENTH1].[2019.SEP]","","2019.SEP - Sep-19","","000")</f>
        <v>2019.SEP - Sep-19</v>
      </c>
      <c r="K10" t="str">
        <f xml:space="preserve"> _xll.EPMOlapMemberO("[TIME].[PARENTH1].[2019.OCT]","","2019.OCT - Oct-19","","000")</f>
        <v>2019.OCT - Oct-19</v>
      </c>
      <c r="L10" t="str">
        <f xml:space="preserve"> _xll.EPMOlapMemberO("[TIME].[PARENTH1].[2019.NOV]","","2019.NOV - Nov-19","","000")</f>
        <v>2019.NOV - Nov-19</v>
      </c>
      <c r="M10" t="str">
        <f xml:space="preserve"> _xll.EPMOlapMemberO("[TIME].[PARENTH1].[2019.DEC]","","2019.DEC - Dec-19","","000")</f>
        <v>2019.DEC - Dec-19</v>
      </c>
      <c r="N10" t="str">
        <f xml:space="preserve"> _xll.EPMOlapMemberO("[TIME].[PARENTH1].[2020.JAN]","","2020.JAN - Jan-20","","000")</f>
        <v>2020.JAN - Jan-20</v>
      </c>
      <c r="O10" t="str">
        <f xml:space="preserve"> _xll.EPMOlapMemberO("[TIME].[PARENTH1].[2020.FEB]","","2020.FEB - Feb-20","","000")</f>
        <v>2020.FEB - Feb-20</v>
      </c>
      <c r="P10" t="str">
        <f xml:space="preserve"> _xll.EPMOlapMemberO("[TIME].[PARENTH1].[2020.MAR]","","2020.MAR - Mar-20","","000")</f>
        <v>2020.MAR - Mar-20</v>
      </c>
      <c r="Q10" t="str">
        <f xml:space="preserve"> _xll.EPMOlapMemberO("[TIME].[PARENTH1].[2020.APR]","","2020.APR - Apr-20","","000")</f>
        <v>2020.APR - Apr-20</v>
      </c>
      <c r="R10" t="str">
        <f xml:space="preserve"> _xll.EPMOlapMemberO("[TIME].[PARENTH1].[2020.MAY]","","2020.MAY - May-20","","000")</f>
        <v>2020.MAY - May-20</v>
      </c>
      <c r="S10" t="str">
        <f xml:space="preserve"> _xll.EPMOlapMemberO("[TIME].[PARENTH1].[2020.JUN]","","2020.JUN - Jun-20","","000")</f>
        <v>2020.JUN - Jun-20</v>
      </c>
      <c r="T10" t="str">
        <f xml:space="preserve"> _xll.EPMOlapMemberO("[TIME].[PARENTH1].[2020.JUL]","","2020.JUL - Jul-20","","000")</f>
        <v>2020.JUL - Jul-20</v>
      </c>
      <c r="U10" t="str">
        <f xml:space="preserve"> _xll.EPMOlapMemberO("[TIME].[PARENTH1].[2020.AUG]","","2020.AUG - Aug-20","","000")</f>
        <v>2020.AUG - Aug-20</v>
      </c>
      <c r="V10" t="str">
        <f xml:space="preserve"> _xll.EPMOlapMemberO("[TIME].[PARENTH1].[2020.SEP]","","2020.SEP - Sep-20","","000")</f>
        <v>2020.SEP - Sep-20</v>
      </c>
      <c r="W10" t="str">
        <f xml:space="preserve"> _xll.EPMOlapMemberO("[TIME].[PARENTH1].[2020.OCT]","","2020.OCT - Oct-20","","000")</f>
        <v>2020.OCT - Oct-20</v>
      </c>
      <c r="X10" t="str">
        <f xml:space="preserve"> _xll.EPMOlapMemberO("[TIME].[PARENTH1].[2020.NOV]","","2020.NOV - Nov-20","","000")</f>
        <v>2020.NOV - Nov-20</v>
      </c>
      <c r="Y10" t="str">
        <f xml:space="preserve"> _xll.EPMOlapMemberO("[TIME].[PARENTH1].[2020.DEC]","","2020.DEC - Dec-20","","000")</f>
        <v>2020.DEC - Dec-20</v>
      </c>
      <c r="Z10" t="str">
        <f xml:space="preserve"> _xll.EPMOlapMemberO("[TIME].[PARENTH1].[2021.JAN]","","2021.JAN - Jan-21","","000")</f>
        <v>2021.JAN - Jan-21</v>
      </c>
      <c r="AA10" t="str">
        <f xml:space="preserve"> _xll.EPMOlapMemberO("[TIME].[PARENTH1].[2021.FEB]","","2021.FEB - Feb-21","","000")</f>
        <v>2021.FEB - Feb-21</v>
      </c>
      <c r="AB10" t="str">
        <f xml:space="preserve"> _xll.EPMOlapMemberO("[TIME].[PARENTH1].[2021.MAR]","","2021.MAR - Mar-21","","000")</f>
        <v>2021.MAR - Mar-21</v>
      </c>
      <c r="AC10" t="str">
        <f xml:space="preserve"> _xll.EPMOlapMemberO("[TIME].[PARENTH1].[2021.APR]","","2021.APR - Apr-21","","000")</f>
        <v>2021.APR - Apr-21</v>
      </c>
      <c r="AD10" t="str">
        <f xml:space="preserve"> _xll.EPMOlapMemberO("[TIME].[PARENTH1].[2021.MAY]","","2021.MAY - May-21","","000")</f>
        <v>2021.MAY - May-21</v>
      </c>
      <c r="AE10" t="str">
        <f xml:space="preserve"> _xll.EPMOlapMemberO("[TIME].[PARENTH1].[2021.JUN]","","2021.JUN - Jun-21","","000")</f>
        <v>2021.JUN - Jun-21</v>
      </c>
      <c r="AF10" t="str">
        <f xml:space="preserve"> _xll.EPMOlapMemberO("[TIME].[PARENTH1].[2021.JUL]","","2021.JUL - Jul-21","","000")</f>
        <v>2021.JUL - Jul-21</v>
      </c>
      <c r="AG10" t="str">
        <f xml:space="preserve"> _xll.EPMOlapMemberO("[TIME].[PARENTH1].[2021.AUG]","","2021.AUG - Aug-21","","000")</f>
        <v>2021.AUG - Aug-21</v>
      </c>
      <c r="AH10" t="str">
        <f xml:space="preserve"> _xll.EPMOlapMemberO("[TIME].[PARENTH1].[2021.SEP]","","2021.SEP - Sep-21","","000")</f>
        <v>2021.SEP - Sep-21</v>
      </c>
      <c r="AI10" t="str">
        <f xml:space="preserve"> _xll.EPMOlapMemberO("[TIME].[PARENTH1].[2021.OCT]","","2021.OCT - Oct-21","","000")</f>
        <v>2021.OCT - Oct-21</v>
      </c>
      <c r="AJ10" t="str">
        <f xml:space="preserve"> _xll.EPMOlapMemberO("[TIME].[PARENTH1].[2021.NOV]","","2021.NOV - Nov-21","","000")</f>
        <v>2021.NOV - Nov-21</v>
      </c>
      <c r="AK10" t="str">
        <f xml:space="preserve"> _xll.EPMOlapMemberO("[TIME].[PARENTH1].[2021.DEC]","","2021.DEC - Dec-21","","000")</f>
        <v>2021.DEC - Dec-21</v>
      </c>
      <c r="AL10" t="str">
        <f xml:space="preserve"> _xll.EPMOlapMemberO("[TIME].[PARENTH1].[2022.JAN]","","2022.JAN - Jan-22","","000")</f>
        <v>2022.JAN - Jan-22</v>
      </c>
      <c r="AM10" t="str">
        <f xml:space="preserve"> _xll.EPMOlapMemberO("[TIME].[PARENTH1].[2022.FEB]","","2022.FEB - Feb-22","","000")</f>
        <v>2022.FEB - Feb-22</v>
      </c>
      <c r="AN10" t="str">
        <f xml:space="preserve"> _xll.EPMOlapMemberO("[TIME].[PARENTH1].[2022.MAR]","","2022.MAR - Mar-22","","000")</f>
        <v>2022.MAR - Mar-22</v>
      </c>
      <c r="AO10" t="str">
        <f xml:space="preserve"> _xll.EPMOlapMemberO("[TIME].[PARENTH1].[2022.APR]","","2022.APR - Apr-22","","000")</f>
        <v>2022.APR - Apr-22</v>
      </c>
      <c r="AP10" t="str">
        <f xml:space="preserve"> _xll.EPMOlapMemberO("[TIME].[PARENTH1].[2022.MAY]","","2022.MAY - May-22","","000")</f>
        <v>2022.MAY - May-22</v>
      </c>
      <c r="AQ10" t="str">
        <f xml:space="preserve"> _xll.EPMOlapMemberO("[TIME].[PARENTH1].[2022.JUN]","","2022.JUN - Jun-22","","000")</f>
        <v>2022.JUN - Jun-22</v>
      </c>
      <c r="AR10" t="str">
        <f xml:space="preserve"> _xll.EPMOlapMemberO("[TIME].[PARENTH1].[2022.JUL]","","2022.JUL - Jul-22","","000")</f>
        <v>2022.JUL - Jul-22</v>
      </c>
      <c r="AS10" t="str">
        <f xml:space="preserve"> _xll.EPMOlapMemberO("[TIME].[PARENTH1].[2022.AUG]","","2022.AUG - Aug-22","","000")</f>
        <v>2022.AUG - Aug-22</v>
      </c>
      <c r="AT10" t="str">
        <f xml:space="preserve"> _xll.EPMOlapMemberO("[TIME].[PARENTH1].[2022.SEP]","","2022.SEP - Sep-22","","000")</f>
        <v>2022.SEP - Sep-22</v>
      </c>
      <c r="AU10" t="str">
        <f xml:space="preserve"> _xll.EPMOlapMemberO("[TIME].[PARENTH1].[2022.OCT]","","2022.OCT - Oct-22","","000")</f>
        <v>2022.OCT - Oct-22</v>
      </c>
      <c r="AV10" t="str">
        <f xml:space="preserve"> _xll.EPMOlapMemberO("[TIME].[PARENTH1].[2022.NOV]","","2022.NOV - Nov-22","","000")</f>
        <v>2022.NOV - Nov-22</v>
      </c>
      <c r="AW10" t="str">
        <f xml:space="preserve"> _xll.EPMOlapMemberO("[TIME].[PARENTH1].[2022.DEC]","","2022.DEC - Dec-22","","000")</f>
        <v>2022.DEC - Dec-22</v>
      </c>
      <c r="AX10" t="str">
        <f xml:space="preserve"> _xll.EPMOlapMemberO("[TIME].[PARENTH1].[2023.JAN]","","2023.JAN - Jan-23","","000")</f>
        <v>2023.JAN - Jan-23</v>
      </c>
      <c r="AY10" t="str">
        <f xml:space="preserve"> _xll.EPMOlapMemberO("[TIME].[PARENTH1].[2023.FEB]","","2023.FEB - Feb-23","","000")</f>
        <v>2023.FEB - Feb-23</v>
      </c>
      <c r="AZ10" t="str">
        <f xml:space="preserve"> _xll.EPMOlapMemberO("[TIME].[PARENTH1].[2023.MAR]","","2023.MAR - Mar-23","","000")</f>
        <v>2023.MAR - Mar-23</v>
      </c>
      <c r="BA10" t="str">
        <f xml:space="preserve"> _xll.EPMOlapMemberO("[TIME].[PARENTH1].[2023.APR]","","2023.APR - Apr-23","","000")</f>
        <v>2023.APR - Apr-23</v>
      </c>
      <c r="BB10" t="str">
        <f xml:space="preserve"> _xll.EPMOlapMemberO("[TIME].[PARENTH1].[2023.MAY]","","2023.MAY - May-23","","000")</f>
        <v>2023.MAY - May-23</v>
      </c>
      <c r="BC10" t="str">
        <f xml:space="preserve"> _xll.EPMOlapMemberO("[TIME].[PARENTH1].[2023.JUN]","","2023.JUN - Jun-23","","000")</f>
        <v>2023.JUN - Jun-23</v>
      </c>
      <c r="BD10" t="str">
        <f xml:space="preserve"> _xll.EPMOlapMemberO("[TIME].[PARENTH1].[2023.JUL]","","2023.JUL - Jul-23","","000")</f>
        <v>2023.JUL - Jul-23</v>
      </c>
      <c r="BE10" t="str">
        <f xml:space="preserve"> _xll.EPMOlapMemberO("[TIME].[PARENTH1].[2023.AUG]","","2023.AUG - Aug-23","","000")</f>
        <v>2023.AUG - Aug-23</v>
      </c>
      <c r="BF10" t="str">
        <f xml:space="preserve"> _xll.EPMOlapMemberO("[TIME].[PARENTH1].[2023.SEP]","","2023.SEP - Sep-23","","000")</f>
        <v>2023.SEP - Sep-23</v>
      </c>
      <c r="BG10" t="str">
        <f xml:space="preserve"> _xll.EPMOlapMemberO("[TIME].[PARENTH1].[2023.OCT]","","2023.OCT - Oct-23","","000")</f>
        <v>2023.OCT - Oct-23</v>
      </c>
      <c r="BH10" t="str">
        <f xml:space="preserve"> _xll.EPMOlapMemberO("[TIME].[PARENTH1].[2023.NOV]","","2023.NOV - Nov-23","","000")</f>
        <v>2023.NOV - Nov-23</v>
      </c>
      <c r="BI10" t="str">
        <f xml:space="preserve"> _xll.EPMOlapMemberO("[TIME].[PARENTH1].[2023.DEC]","","2023.DEC - Dec-23","","000")</f>
        <v>2023.DEC - Dec-23</v>
      </c>
      <c r="BJ10" t="str">
        <f xml:space="preserve"> _xll.EPMOlapMemberO("[TIME].[PARENTH1].[2024.JAN]","","2024.JAN - Jan-24","","000")</f>
        <v>2024.JAN - Jan-24</v>
      </c>
      <c r="BK10" t="str">
        <f xml:space="preserve"> _xll.EPMOlapMemberO("[TIME].[PARENTH1].[2024.FEB]","","2024.FEB - Feb-24","","000")</f>
        <v>2024.FEB - Feb-24</v>
      </c>
      <c r="BL10" t="str">
        <f xml:space="preserve"> _xll.EPMOlapMemberO("[TIME].[PARENTH1].[2024.MAR]","","2024.MAR - Mar-24","","000")</f>
        <v>2024.MAR - Mar-24</v>
      </c>
      <c r="BM10" t="str">
        <f xml:space="preserve"> _xll.EPMOlapMemberO("[TIME].[PARENTH1].[2024.APR]","","2024.APR - Apr-24","","000")</f>
        <v>2024.APR - Apr-24</v>
      </c>
      <c r="BN10" t="str">
        <f xml:space="preserve"> _xll.EPMOlapMemberO("[TIME].[PARENTH1].[2024.MAY]","","2024.MAY - May-24","","000")</f>
        <v>2024.MAY - May-24</v>
      </c>
      <c r="BO10" t="str">
        <f xml:space="preserve"> _xll.EPMOlapMemberO("[TIME].[PARENTH1].[2024.JUN]","","2024.JUN - Jun-24","","000")</f>
        <v>2024.JUN - Jun-24</v>
      </c>
      <c r="BP10" t="str">
        <f xml:space="preserve"> _xll.EPMOlapMemberO("[TIME].[PARENTH1].[2024.JUL]","","2024.JUL - Jul-24","","000")</f>
        <v>2024.JUL - Jul-24</v>
      </c>
      <c r="BQ10" t="str">
        <f xml:space="preserve"> _xll.EPMOlapMemberO("[TIME].[PARENTH1].[2024.AUG]","","2024.AUG - Aug-24","","000")</f>
        <v>2024.AUG - Aug-24</v>
      </c>
      <c r="BR10" t="str">
        <f xml:space="preserve"> _xll.EPMOlapMemberO("[TIME].[PARENTH1].[2024.SEP]","","2024.SEP - Sep-24","","000")</f>
        <v>2024.SEP - Sep-24</v>
      </c>
      <c r="BS10" t="str">
        <f xml:space="preserve"> _xll.EPMOlapMemberO("[TIME].[PARENTH1].[2024.OCT]","","2024.OCT - Oct-24","","000")</f>
        <v>2024.OCT - Oct-24</v>
      </c>
      <c r="BT10" t="str">
        <f xml:space="preserve"> _xll.EPMOlapMemberO("[TIME].[PARENTH1].[2024.NOV]","","2024.NOV - Nov-24","","000")</f>
        <v>2024.NOV - Nov-24</v>
      </c>
      <c r="BU10" t="str">
        <f xml:space="preserve"> _xll.EPMOlapMemberO("[TIME].[PARENTH1].[2024.DEC]","","2024.DEC - Dec-24","","000")</f>
        <v>2024.DEC - Dec-24</v>
      </c>
      <c r="BV10" t="str">
        <f xml:space="preserve"> _xll.EPMOlapMemberO("[TIME].[PARENTH1].[2025.JAN]","","2025.JAN - Jan-25","","000")</f>
        <v>2025.JAN - Jan-25</v>
      </c>
      <c r="BW10" t="str">
        <f xml:space="preserve"> _xll.EPMOlapMemberO("[TIME].[PARENTH1].[2025.FEB]","","2025.FEB - Feb-25","","000")</f>
        <v>2025.FEB - Feb-25</v>
      </c>
      <c r="BX10" t="str">
        <f xml:space="preserve"> _xll.EPMOlapMemberO("[TIME].[PARENTH1].[2025.MAR]","","2025.MAR - Mar-25","","000")</f>
        <v>2025.MAR - Mar-25</v>
      </c>
      <c r="BY10" t="str">
        <f xml:space="preserve"> _xll.EPMOlapMemberO("[TIME].[PARENTH1].[2025.APR]","","2025.APR - Apr-25","","000")</f>
        <v>2025.APR - Apr-25</v>
      </c>
      <c r="BZ10" t="str">
        <f xml:space="preserve"> _xll.EPMOlapMemberO("[TIME].[PARENTH1].[2025.MAY]","","2025.MAY - May-25","","000")</f>
        <v>2025.MAY - May-25</v>
      </c>
      <c r="CA10" t="str">
        <f xml:space="preserve"> _xll.EPMOlapMemberO("[TIME].[PARENTH1].[2025.JUN]","","2025.JUN - Jun-25","","000")</f>
        <v>2025.JUN - Jun-25</v>
      </c>
      <c r="CB10" t="str">
        <f xml:space="preserve"> _xll.EPMOlapMemberO("[TIME].[PARENTH1].[2025.JUL]","","2025.JUL - Jul-25","","000")</f>
        <v>2025.JUL - Jul-25</v>
      </c>
      <c r="CC10" t="str">
        <f xml:space="preserve"> _xll.EPMOlapMemberO("[TIME].[PARENTH1].[2025.AUG]","","2025.AUG - Aug-25","","000")</f>
        <v>2025.AUG - Aug-25</v>
      </c>
      <c r="CD10" t="str">
        <f xml:space="preserve"> _xll.EPMOlapMemberO("[TIME].[PARENTH1].[2025.SEP]","","2025.SEP - Sep-25","","000")</f>
        <v>2025.SEP - Sep-25</v>
      </c>
      <c r="CE10" t="str">
        <f xml:space="preserve"> _xll.EPMOlapMemberO("[TIME].[PARENTH1].[2025.OCT]","","2025.OCT - Oct-25","","000")</f>
        <v>2025.OCT - Oct-25</v>
      </c>
      <c r="CF10" t="str">
        <f xml:space="preserve"> _xll.EPMOlapMemberO("[TIME].[PARENTH1].[2025.NOV]","","2025.NOV - Nov-25","","000")</f>
        <v>2025.NOV - Nov-25</v>
      </c>
      <c r="CG10" t="str">
        <f xml:space="preserve"> _xll.EPMOlapMemberO("[TIME].[PARENTH1].[2025.DEC]","","2025.DEC - Dec-25","","000")</f>
        <v>2025.DEC - Dec-25</v>
      </c>
    </row>
    <row r="11" spans="1:85">
      <c r="A11" s="2" t="str">
        <f xml:space="preserve"> _xll.EPMOlapMemberO("[ACCOUNT].[PARENTH1].[303000]","","EGM Terminals","","000")</f>
        <v>EGM Terminals</v>
      </c>
      <c r="B11">
        <v>9146017.0099999998</v>
      </c>
      <c r="C11">
        <v>10629327.550000001</v>
      </c>
      <c r="D11">
        <v>65660450.030000001</v>
      </c>
      <c r="E11">
        <v>11134962.890000001</v>
      </c>
      <c r="F11">
        <v>23439954.129999999</v>
      </c>
      <c r="G11">
        <v>60881540.560000002</v>
      </c>
      <c r="H11">
        <v>13433601.369999999</v>
      </c>
      <c r="I11">
        <v>22219237.469999999</v>
      </c>
      <c r="J11">
        <v>61102868.539999999</v>
      </c>
      <c r="K11">
        <v>21865960.899999999</v>
      </c>
      <c r="L11">
        <v>30137074.109999999</v>
      </c>
      <c r="M11">
        <v>107356722.18000001</v>
      </c>
      <c r="N11">
        <v>7990335.6200000001</v>
      </c>
      <c r="O11">
        <v>9214481.4600000009</v>
      </c>
      <c r="P11">
        <v>20742315.449999999</v>
      </c>
      <c r="Q11">
        <v>1352417</v>
      </c>
      <c r="R11">
        <v>9705412</v>
      </c>
      <c r="S11">
        <v>44025660</v>
      </c>
      <c r="T11">
        <v>5451741.0199999996</v>
      </c>
      <c r="U11">
        <v>14367261.130000001</v>
      </c>
      <c r="V11">
        <v>29278359.850000001</v>
      </c>
      <c r="W11">
        <v>9794221</v>
      </c>
      <c r="X11">
        <v>8794407</v>
      </c>
      <c r="Y11">
        <v>34792345</v>
      </c>
      <c r="Z11">
        <v>9351119.4199999999</v>
      </c>
      <c r="AA11">
        <v>13235762</v>
      </c>
      <c r="AB11">
        <v>25479168.899999999</v>
      </c>
      <c r="AC11">
        <v>13806882.220000001</v>
      </c>
      <c r="AD11">
        <v>20282817.359999999</v>
      </c>
      <c r="AE11">
        <v>35291542.189999998</v>
      </c>
      <c r="AF11">
        <v>18435635.420000002</v>
      </c>
      <c r="AG11">
        <v>15928815.92</v>
      </c>
      <c r="AH11">
        <v>29545346.789999999</v>
      </c>
      <c r="AI11">
        <v>16707524</v>
      </c>
      <c r="AJ11">
        <v>20065218.239999998</v>
      </c>
      <c r="AK11">
        <v>59753106.310000002</v>
      </c>
      <c r="AL11">
        <v>22387452.18</v>
      </c>
      <c r="AM11">
        <v>20594986.100000001</v>
      </c>
      <c r="AN11">
        <v>53308554.549999997</v>
      </c>
      <c r="AO11">
        <v>13868162</v>
      </c>
      <c r="AP11">
        <v>18043709.390000001</v>
      </c>
      <c r="AQ11">
        <v>63466246.170000002</v>
      </c>
      <c r="AR11">
        <v>15243269.67</v>
      </c>
      <c r="AS11">
        <v>33985683.299999997</v>
      </c>
      <c r="AT11">
        <v>80191716.189999998</v>
      </c>
      <c r="AU11">
        <v>20247126.370000001</v>
      </c>
      <c r="AV11">
        <v>42149158.82</v>
      </c>
      <c r="AW11">
        <v>79600367.040000007</v>
      </c>
      <c r="AX11">
        <v>22420840.300000001</v>
      </c>
      <c r="AY11">
        <v>34946730.369999997</v>
      </c>
      <c r="AZ11">
        <v>78412513.280000001</v>
      </c>
      <c r="BA11">
        <v>29255744.620000001</v>
      </c>
      <c r="BB11">
        <v>49660754.770000003</v>
      </c>
      <c r="BC11">
        <v>58573850.399999999</v>
      </c>
      <c r="BD11">
        <v>24103914.039999999</v>
      </c>
      <c r="BE11">
        <v>47053268.719999999</v>
      </c>
      <c r="BF11">
        <v>56545509.920000002</v>
      </c>
      <c r="BG11">
        <v>29339210.379999999</v>
      </c>
      <c r="BH11">
        <v>40765087.619999997</v>
      </c>
      <c r="BI11">
        <v>66820092.850000001</v>
      </c>
      <c r="BJ11">
        <v>15729105.529999999</v>
      </c>
      <c r="BK11">
        <v>28201310.809999999</v>
      </c>
      <c r="BL11">
        <v>68213473.359999999</v>
      </c>
      <c r="BM11">
        <v>17667865.190000001</v>
      </c>
      <c r="BN11">
        <v>24501518.149999999</v>
      </c>
      <c r="BO11">
        <v>67579693.829999998</v>
      </c>
      <c r="BP11">
        <v>17425899.32</v>
      </c>
      <c r="BQ11">
        <v>32032338.469999999</v>
      </c>
      <c r="BR11">
        <v>64262762.859999999</v>
      </c>
      <c r="BS11">
        <v>22984096.390000001</v>
      </c>
      <c r="BT11">
        <v>34936884.780000001</v>
      </c>
      <c r="BU11">
        <v>111700078.83</v>
      </c>
      <c r="BV11">
        <v>13066263.869999999</v>
      </c>
      <c r="BW11">
        <v>26649064.109999999</v>
      </c>
      <c r="BX11">
        <v>60519024.189999998</v>
      </c>
      <c r="BY11">
        <v>11749768.43</v>
      </c>
      <c r="BZ11">
        <v>23660632.710000001</v>
      </c>
      <c r="CA11">
        <v>52830349.020000003</v>
      </c>
      <c r="CB11">
        <v>17720235.039999999</v>
      </c>
      <c r="CC11">
        <v>40501130.770000003</v>
      </c>
      <c r="CD11">
        <v>63651998.039999999</v>
      </c>
      <c r="CE11">
        <v>30491973.670000002</v>
      </c>
      <c r="CF11">
        <v>34824177.909999996</v>
      </c>
      <c r="CG11">
        <v>107800769.7</v>
      </c>
    </row>
    <row r="12" spans="1:85">
      <c r="A12" s="2" t="str">
        <f xml:space="preserve"> _xll.EPMOlapMemberO("[ACCOUNT].[PARENTH1].[303050]","","EGM Terminals Collaboration","","000")</f>
        <v>EGM Terminals Collaboration</v>
      </c>
    </row>
    <row r="13" spans="1:85">
      <c r="A13" s="2" t="str">
        <f xml:space="preserve"> _xll.EPMOlapMemberO("[ACCOUNT].[PARENTH1].[303107]","","Terminal Kits","","000")</f>
        <v>Terminal Kits</v>
      </c>
    </row>
    <row r="14" spans="1:85">
      <c r="A14" s="2" t="str">
        <f xml:space="preserve"> _xll.EPMOlapMemberO("[ACCOUNT].[PARENTH1].[303201]","","Vlt Terminal","","000")</f>
        <v>Vlt Terminal</v>
      </c>
    </row>
    <row r="15" spans="1:85">
      <c r="A15" s="2" t="str">
        <f xml:space="preserve"> _xll.EPMOlapMemberO("[ACCOUNT].[PARENTH1].[303209]","","AWP Machines","","000")</f>
        <v>AWP Machines</v>
      </c>
    </row>
    <row r="16" spans="1:85">
      <c r="A16" s="2" t="str">
        <f xml:space="preserve"> _xll.EPMOlapMemberO("[ACCOUNT].[PARENTH1].[303210]","","Frght","","000")</f>
        <v>Frght</v>
      </c>
      <c r="B16">
        <v>90141.02</v>
      </c>
      <c r="C16">
        <v>102204.95</v>
      </c>
      <c r="D16">
        <v>343222.46</v>
      </c>
      <c r="E16">
        <v>142806.15</v>
      </c>
      <c r="F16">
        <v>242843.09</v>
      </c>
      <c r="G16">
        <v>336335.21</v>
      </c>
      <c r="H16">
        <v>119742.7</v>
      </c>
      <c r="I16">
        <v>147434.92000000001</v>
      </c>
      <c r="J16">
        <v>416875.35</v>
      </c>
      <c r="K16">
        <v>111991.62</v>
      </c>
      <c r="L16">
        <v>166075.01999999999</v>
      </c>
      <c r="M16">
        <v>593097.67000000004</v>
      </c>
      <c r="N16">
        <v>96683</v>
      </c>
      <c r="O16">
        <v>86916.43</v>
      </c>
      <c r="P16">
        <v>105928.65</v>
      </c>
      <c r="Q16">
        <v>1515.97</v>
      </c>
      <c r="R16">
        <v>79979.55</v>
      </c>
      <c r="S16">
        <v>241758.93</v>
      </c>
      <c r="T16">
        <v>48244.85</v>
      </c>
      <c r="U16">
        <v>88962.13</v>
      </c>
      <c r="V16">
        <v>194458.63</v>
      </c>
      <c r="W16">
        <v>143722.29999999999</v>
      </c>
      <c r="X16">
        <v>67692</v>
      </c>
      <c r="Y16">
        <v>261654.44</v>
      </c>
      <c r="Z16">
        <v>57453.07</v>
      </c>
      <c r="AA16">
        <v>81634.69</v>
      </c>
      <c r="AB16">
        <v>224894.82</v>
      </c>
      <c r="AC16">
        <v>83792.509999999995</v>
      </c>
      <c r="AD16">
        <v>147517.06</v>
      </c>
      <c r="AE16">
        <v>386416.67</v>
      </c>
      <c r="AF16">
        <v>248944.84</v>
      </c>
      <c r="AG16">
        <v>140527.65</v>
      </c>
      <c r="AH16">
        <v>326852.46000000002</v>
      </c>
      <c r="AI16">
        <v>94193.88</v>
      </c>
      <c r="AJ16">
        <v>540553.94999999995</v>
      </c>
      <c r="AK16">
        <v>-20510.900000000001</v>
      </c>
      <c r="AL16">
        <v>213640.74</v>
      </c>
      <c r="AM16">
        <v>144439.51999999999</v>
      </c>
      <c r="AN16">
        <v>354238.43</v>
      </c>
      <c r="AO16">
        <v>152154.04</v>
      </c>
      <c r="AP16">
        <v>127710.75</v>
      </c>
      <c r="AQ16">
        <v>537601.57999999996</v>
      </c>
      <c r="AR16">
        <v>122153.12</v>
      </c>
      <c r="AS16">
        <v>219817.7</v>
      </c>
      <c r="AT16">
        <v>557755.88</v>
      </c>
      <c r="AU16">
        <v>120696.05</v>
      </c>
      <c r="AV16">
        <v>277588.49</v>
      </c>
      <c r="AW16">
        <v>508128.36</v>
      </c>
      <c r="AX16">
        <v>141081.49</v>
      </c>
      <c r="AY16">
        <v>237827.63</v>
      </c>
      <c r="AZ16">
        <v>620750.5</v>
      </c>
      <c r="BA16">
        <v>218489.35</v>
      </c>
      <c r="BB16">
        <v>339003.61</v>
      </c>
      <c r="BC16">
        <v>510704.5</v>
      </c>
      <c r="BD16">
        <v>190544.05</v>
      </c>
      <c r="BE16">
        <v>236114.33</v>
      </c>
      <c r="BF16">
        <v>431951.1</v>
      </c>
      <c r="BG16">
        <v>205916.62</v>
      </c>
      <c r="BH16">
        <v>303125.52</v>
      </c>
      <c r="BI16">
        <v>548794.17000000004</v>
      </c>
      <c r="BJ16">
        <v>134792.75</v>
      </c>
      <c r="BK16">
        <v>244257.24</v>
      </c>
      <c r="BL16">
        <v>402810.71</v>
      </c>
      <c r="BM16">
        <v>155122.32999999999</v>
      </c>
      <c r="BN16">
        <v>292194.46000000002</v>
      </c>
      <c r="BO16">
        <v>406448.93</v>
      </c>
      <c r="BP16">
        <v>108826.66</v>
      </c>
      <c r="BQ16">
        <v>207600.76</v>
      </c>
      <c r="BR16">
        <v>446273.95</v>
      </c>
      <c r="BS16">
        <v>114215.45</v>
      </c>
      <c r="BT16">
        <v>209554.5</v>
      </c>
      <c r="BU16">
        <v>822812.07</v>
      </c>
      <c r="BV16">
        <v>118292.89</v>
      </c>
      <c r="BW16">
        <v>153071.73000000001</v>
      </c>
      <c r="BX16">
        <v>407001.54</v>
      </c>
      <c r="BY16">
        <v>162214.16</v>
      </c>
      <c r="BZ16">
        <v>226775.27</v>
      </c>
      <c r="CA16">
        <v>455251.52</v>
      </c>
      <c r="CB16">
        <v>199702.91</v>
      </c>
      <c r="CC16">
        <v>213225.92</v>
      </c>
      <c r="CD16">
        <v>470095.82</v>
      </c>
      <c r="CE16">
        <v>277903.45</v>
      </c>
      <c r="CF16">
        <v>184116.81</v>
      </c>
      <c r="CG16">
        <v>683364.84</v>
      </c>
    </row>
    <row r="17" spans="1:85">
      <c r="A17" s="2" t="str">
        <f xml:space="preserve"> _xll.EPMOlapMemberO("[ACCOUNT].[PARENTH1].[303365]","","New Non-Premium STL Revenue","","000")</f>
        <v>New Non-Premium STL Revenue</v>
      </c>
      <c r="AH17">
        <v>291918</v>
      </c>
      <c r="AJ17">
        <v>260377.5</v>
      </c>
      <c r="AK17">
        <v>389135.25</v>
      </c>
      <c r="AM17">
        <v>418693</v>
      </c>
      <c r="AN17">
        <v>387278.75</v>
      </c>
      <c r="AO17">
        <v>816351.16</v>
      </c>
      <c r="AP17">
        <v>0</v>
      </c>
      <c r="AS17">
        <v>575682.5</v>
      </c>
      <c r="AV17">
        <v>270876.25</v>
      </c>
      <c r="AW17">
        <v>2327568.61</v>
      </c>
      <c r="AX17">
        <v>788510</v>
      </c>
      <c r="AZ17">
        <v>1403043.62</v>
      </c>
      <c r="BA17">
        <v>368139.42</v>
      </c>
      <c r="BB17">
        <v>595259</v>
      </c>
      <c r="BC17">
        <v>335077.5</v>
      </c>
      <c r="BE17">
        <v>554424.25</v>
      </c>
      <c r="BF17">
        <v>182317.5</v>
      </c>
      <c r="BG17">
        <v>320791.25</v>
      </c>
      <c r="BH17">
        <v>473642</v>
      </c>
      <c r="BI17">
        <v>574762.65</v>
      </c>
      <c r="BJ17">
        <v>-260150.5</v>
      </c>
      <c r="BK17">
        <v>155777</v>
      </c>
      <c r="BM17">
        <v>1015405.6</v>
      </c>
      <c r="BN17">
        <v>350092</v>
      </c>
      <c r="BO17">
        <v>2757172.25</v>
      </c>
      <c r="BQ17">
        <v>1123974</v>
      </c>
      <c r="BR17">
        <v>103233.89</v>
      </c>
      <c r="BS17">
        <v>335793</v>
      </c>
      <c r="BT17">
        <v>657246.25</v>
      </c>
      <c r="BU17">
        <v>11200</v>
      </c>
      <c r="BV17">
        <v>10500</v>
      </c>
      <c r="BW17">
        <v>245171.32</v>
      </c>
      <c r="BX17">
        <v>138299</v>
      </c>
      <c r="BZ17">
        <v>150362.5</v>
      </c>
      <c r="CA17">
        <v>2030796</v>
      </c>
      <c r="CE17">
        <v>28572</v>
      </c>
      <c r="CF17">
        <v>289897.33</v>
      </c>
      <c r="CG17">
        <v>2800</v>
      </c>
    </row>
    <row r="18" spans="1:85">
      <c r="A18" s="2" t="str">
        <f xml:space="preserve"> _xll.EPMOlapMemberO("[ACCOUNT].[PARENTH1].[303630]","","MPS Mach Revenue","","000")</f>
        <v>MPS Mach Revenue</v>
      </c>
    </row>
    <row r="19" spans="1:85">
      <c r="A19" s="2" t="str">
        <f xml:space="preserve"> _xll.EPMOlapMemberO("[ACCOUNT].[PARENTH1].[303632]","","Sales Disc Mach","","000")</f>
        <v>Sales Disc Mach</v>
      </c>
      <c r="B19">
        <v>-2574764.9900000002</v>
      </c>
      <c r="C19">
        <v>-3069027.9</v>
      </c>
      <c r="D19">
        <v>-18597063.199999999</v>
      </c>
      <c r="E19">
        <v>-2901856.53</v>
      </c>
      <c r="F19">
        <v>-6646994.2999999998</v>
      </c>
      <c r="G19">
        <v>-17184096.32</v>
      </c>
      <c r="H19">
        <v>-3626089.49</v>
      </c>
      <c r="I19">
        <v>-6375982.2699999996</v>
      </c>
      <c r="J19">
        <v>-16513317.939999999</v>
      </c>
      <c r="K19">
        <v>-7462117.4299999997</v>
      </c>
      <c r="L19">
        <v>-8402360.8300000001</v>
      </c>
      <c r="M19">
        <v>-35577472.93</v>
      </c>
      <c r="N19">
        <v>-2198028.0499999998</v>
      </c>
      <c r="O19">
        <v>-2570456.89</v>
      </c>
      <c r="P19">
        <v>-6567010.6900000004</v>
      </c>
      <c r="Q19">
        <v>-182623.89</v>
      </c>
      <c r="R19">
        <v>-2030897.6</v>
      </c>
      <c r="S19">
        <v>-14155641.08</v>
      </c>
      <c r="T19">
        <v>-1266101.57</v>
      </c>
      <c r="U19">
        <v>-3782096.38</v>
      </c>
      <c r="V19">
        <v>-8296033.7599999998</v>
      </c>
      <c r="W19">
        <v>-2501835.86</v>
      </c>
      <c r="X19">
        <v>-2365957.25</v>
      </c>
      <c r="Y19">
        <v>-10416636.619999999</v>
      </c>
      <c r="Z19">
        <v>-2437930.0499999998</v>
      </c>
      <c r="AA19">
        <v>-3276983.66</v>
      </c>
      <c r="AB19">
        <v>-5705092.3799999999</v>
      </c>
      <c r="AC19">
        <v>-3785446.29</v>
      </c>
      <c r="AD19">
        <v>-6382025.0300000003</v>
      </c>
      <c r="AE19">
        <v>-8496353.1999999993</v>
      </c>
      <c r="AF19">
        <v>-4711442.8499999996</v>
      </c>
      <c r="AG19">
        <v>-3594952.15</v>
      </c>
      <c r="AH19">
        <v>-8330173.3399999999</v>
      </c>
      <c r="AI19">
        <v>-3530302.33</v>
      </c>
      <c r="AJ19">
        <v>-4960487.17</v>
      </c>
      <c r="AK19">
        <v>-16154534.52</v>
      </c>
      <c r="AL19">
        <v>-4943795.93</v>
      </c>
      <c r="AM19">
        <v>-4738010.9400000004</v>
      </c>
      <c r="AN19">
        <v>-14053068.9</v>
      </c>
      <c r="AO19">
        <v>-3016189.46</v>
      </c>
      <c r="AP19">
        <v>-4324974.57</v>
      </c>
      <c r="AQ19">
        <v>-15330349.48</v>
      </c>
      <c r="AR19">
        <v>-3220703.12</v>
      </c>
      <c r="AS19">
        <v>-6943698.6900000004</v>
      </c>
      <c r="AT19">
        <v>-18310351.829999998</v>
      </c>
      <c r="AU19">
        <v>-3797905.44</v>
      </c>
      <c r="AV19">
        <v>-6259325.7000000002</v>
      </c>
      <c r="AW19">
        <v>-19043978.460000001</v>
      </c>
      <c r="AX19">
        <v>-3935532.72</v>
      </c>
      <c r="AY19">
        <v>-8797613.4399999995</v>
      </c>
      <c r="AZ19">
        <v>-20040296.859999999</v>
      </c>
      <c r="BA19">
        <v>-7788992.2699999996</v>
      </c>
      <c r="BB19">
        <v>-11620170.65</v>
      </c>
      <c r="BC19">
        <v>-14153184.470000001</v>
      </c>
      <c r="BD19">
        <v>-5214537.7699999996</v>
      </c>
      <c r="BE19">
        <v>-11380374.01</v>
      </c>
      <c r="BF19">
        <v>-11425148.5</v>
      </c>
      <c r="BG19">
        <v>-5347955.5199999996</v>
      </c>
      <c r="BH19">
        <v>-9236736.2300000004</v>
      </c>
      <c r="BI19">
        <v>-15121655.800000001</v>
      </c>
      <c r="BJ19">
        <v>-3184255.04</v>
      </c>
      <c r="BK19">
        <v>-6621193.5700000003</v>
      </c>
      <c r="BL19">
        <v>-16515801.16</v>
      </c>
      <c r="BM19">
        <v>-4484153.0599999996</v>
      </c>
      <c r="BN19">
        <v>-6484555.6200000001</v>
      </c>
      <c r="BO19">
        <v>-17871739.18</v>
      </c>
      <c r="BP19">
        <v>-2683702.6</v>
      </c>
      <c r="BQ19">
        <v>-6134774.3499999996</v>
      </c>
      <c r="BR19">
        <v>-14456695.91</v>
      </c>
      <c r="BS19">
        <v>-4308808.08</v>
      </c>
      <c r="BT19">
        <v>-7030668.8899999997</v>
      </c>
      <c r="BU19">
        <v>-30731996.420000002</v>
      </c>
      <c r="BV19">
        <v>-2875643.35</v>
      </c>
      <c r="BW19">
        <v>-7794541.7599999998</v>
      </c>
      <c r="BX19">
        <v>-14698003.539999999</v>
      </c>
      <c r="BY19">
        <v>-3287454.22</v>
      </c>
      <c r="BZ19">
        <v>-5708823.1600000001</v>
      </c>
      <c r="CA19">
        <v>-15892510.439999999</v>
      </c>
      <c r="CB19">
        <v>-3116145.21</v>
      </c>
      <c r="CC19">
        <v>-8480465.6899999995</v>
      </c>
      <c r="CD19">
        <v>-15270937.58</v>
      </c>
      <c r="CE19">
        <v>-8155852.0300000003</v>
      </c>
      <c r="CF19">
        <v>-6762186.7999999998</v>
      </c>
      <c r="CG19">
        <v>-21230512.510000002</v>
      </c>
    </row>
    <row r="20" spans="1:85">
      <c r="A20" s="2" t="str">
        <f xml:space="preserve"> _xll.EPMOlapMemberO("[ACCOUNT].[PARENTH1].[303633]","","Mach Discount Recovery","","000")</f>
        <v>Mach Discount Recovery</v>
      </c>
      <c r="W20">
        <v>78043.3</v>
      </c>
      <c r="X20">
        <v>-17970</v>
      </c>
      <c r="Y20">
        <v>56540.44</v>
      </c>
      <c r="Z20">
        <v>-55668.42</v>
      </c>
      <c r="AC20">
        <v>663.05</v>
      </c>
      <c r="AI20">
        <v>900.76</v>
      </c>
      <c r="AJ20">
        <v>-5.87</v>
      </c>
      <c r="AW20">
        <v>6607.53</v>
      </c>
      <c r="BG20">
        <v>1329.13</v>
      </c>
      <c r="BH20">
        <v>500</v>
      </c>
      <c r="BW20">
        <v>29515.61</v>
      </c>
      <c r="BY20">
        <v>0</v>
      </c>
      <c r="BZ20">
        <v>103935.54</v>
      </c>
      <c r="CC20">
        <v>-27465.83</v>
      </c>
    </row>
    <row r="21" spans="1:85">
      <c r="A21" s="2" t="str">
        <f xml:space="preserve"> _xll.EPMOlapMemberO("[ACCOUNT].[PARENTH1].[303634]","","Disc Dfrd Int Mach","","000")</f>
        <v>Disc Dfrd Int Mach</v>
      </c>
      <c r="D21">
        <v>2641.72</v>
      </c>
      <c r="F21">
        <v>5428.32</v>
      </c>
      <c r="K21">
        <v>3940</v>
      </c>
      <c r="M21">
        <v>-1226562.21</v>
      </c>
      <c r="N21">
        <v>258303.71</v>
      </c>
      <c r="X21">
        <v>158261.46</v>
      </c>
      <c r="AY21">
        <v>-3338.37</v>
      </c>
      <c r="AZ21">
        <v>-166468.12</v>
      </c>
      <c r="BA21">
        <v>-12385.32</v>
      </c>
      <c r="BB21">
        <v>-189567.55</v>
      </c>
      <c r="BC21">
        <v>-24339.03</v>
      </c>
      <c r="BD21">
        <v>-1880.72</v>
      </c>
      <c r="BE21">
        <v>-121065.23</v>
      </c>
      <c r="BF21">
        <v>-252359.05</v>
      </c>
      <c r="BG21">
        <v>-7127.25</v>
      </c>
      <c r="BH21">
        <v>-100909.94</v>
      </c>
      <c r="BI21">
        <v>-102029.2</v>
      </c>
      <c r="BJ21">
        <v>-7144.85</v>
      </c>
      <c r="BK21">
        <v>32322.76</v>
      </c>
      <c r="BL21">
        <v>-172855.07</v>
      </c>
      <c r="BM21">
        <v>-1997.39</v>
      </c>
      <c r="BN21">
        <v>-26681.13</v>
      </c>
      <c r="BO21">
        <v>-329587.15000000002</v>
      </c>
      <c r="BQ21">
        <v>-275.45</v>
      </c>
      <c r="BR21">
        <v>-39826.78</v>
      </c>
      <c r="BS21">
        <v>-122026.8</v>
      </c>
      <c r="BU21">
        <v>-167503.85</v>
      </c>
      <c r="BV21">
        <v>-7423.56</v>
      </c>
      <c r="BW21">
        <v>-5772.83</v>
      </c>
      <c r="BX21">
        <v>29443.29</v>
      </c>
      <c r="BY21">
        <v>-3711.16</v>
      </c>
      <c r="BZ21">
        <v>-5164.92</v>
      </c>
      <c r="CA21">
        <v>-19428.21</v>
      </c>
      <c r="CB21">
        <v>-9553.2099999999991</v>
      </c>
      <c r="CC21">
        <v>-24733.42</v>
      </c>
      <c r="CD21">
        <v>-22691.69</v>
      </c>
      <c r="CE21">
        <v>-20794.150000000001</v>
      </c>
      <c r="CF21">
        <v>-22069.54</v>
      </c>
      <c r="CG21">
        <v>-66565.16</v>
      </c>
    </row>
    <row r="22" spans="1:85">
      <c r="A22" s="2" t="str">
        <f xml:space="preserve"> _xll.EPMOlapMemberO("[ACCOUNT].[PARENTH1].[303635]","","Theme Discounts","","000")</f>
        <v>Theme Discounts</v>
      </c>
    </row>
    <row r="23" spans="1:85">
      <c r="A23" s="2" t="str">
        <f xml:space="preserve"> _xll.EPMOlapMemberO("[ACCOUNT].[PARENTH1].[303637]","","Cash Discount","","000")</f>
        <v>Cash Discount</v>
      </c>
      <c r="B23">
        <v>19998.060000000001</v>
      </c>
      <c r="C23">
        <v>-33861.51</v>
      </c>
      <c r="D23">
        <v>-96683.4</v>
      </c>
      <c r="E23">
        <v>67726.25</v>
      </c>
      <c r="F23">
        <v>-97015.039999999994</v>
      </c>
      <c r="G23">
        <v>-11168.9</v>
      </c>
      <c r="H23">
        <v>-37123.97</v>
      </c>
      <c r="I23">
        <v>-49666.83</v>
      </c>
      <c r="J23">
        <v>20006.150000000001</v>
      </c>
      <c r="K23">
        <v>3608.9</v>
      </c>
      <c r="L23">
        <v>-47656.72</v>
      </c>
      <c r="M23">
        <v>-57626.22</v>
      </c>
      <c r="N23">
        <v>-21484.47</v>
      </c>
      <c r="O23">
        <v>-7607.29</v>
      </c>
      <c r="P23">
        <v>-9725.5</v>
      </c>
      <c r="Q23">
        <v>17067.32</v>
      </c>
      <c r="R23">
        <v>-618.91</v>
      </c>
      <c r="S23">
        <v>-3018.65</v>
      </c>
      <c r="T23">
        <v>-4085.8</v>
      </c>
      <c r="U23">
        <v>-22698.63</v>
      </c>
      <c r="V23">
        <v>-46001.13</v>
      </c>
      <c r="W23">
        <v>63610.74</v>
      </c>
      <c r="X23">
        <v>-6198.56</v>
      </c>
      <c r="Y23">
        <v>-6907.91</v>
      </c>
      <c r="Z23">
        <v>-14.23</v>
      </c>
      <c r="AA23">
        <v>568.36</v>
      </c>
      <c r="AB23">
        <v>-25362.15</v>
      </c>
      <c r="AC23">
        <v>-615.26</v>
      </c>
      <c r="AD23">
        <v>-30273.13</v>
      </c>
      <c r="AE23">
        <v>-10924.22</v>
      </c>
      <c r="AF23">
        <v>10599.64</v>
      </c>
      <c r="AG23">
        <v>-107653.34</v>
      </c>
      <c r="AK23">
        <v>-27061.07</v>
      </c>
      <c r="AL23">
        <v>0.04</v>
      </c>
      <c r="AP23">
        <v>-3851.74</v>
      </c>
      <c r="AQ23">
        <v>3851.74</v>
      </c>
      <c r="AV23">
        <v>-9441.98</v>
      </c>
      <c r="AW23">
        <v>-1499.64</v>
      </c>
      <c r="AZ23">
        <v>-9240.85</v>
      </c>
      <c r="BA23">
        <v>-375.85</v>
      </c>
      <c r="BB23">
        <v>375.85</v>
      </c>
      <c r="CC23">
        <v>-11.8</v>
      </c>
      <c r="CG23">
        <v>-0.43</v>
      </c>
    </row>
    <row r="24" spans="1:85">
      <c r="A24" s="2" t="str">
        <f xml:space="preserve"> _xll.EPMOlapMemberO("[ACCOUNT].[PARENTH1].[303641]","","Machine Concession","","000")</f>
        <v>Machine Concession</v>
      </c>
      <c r="U24">
        <v>-97.17</v>
      </c>
      <c r="AW24">
        <v>-400</v>
      </c>
      <c r="AY24">
        <v>-2129.69</v>
      </c>
      <c r="BH24">
        <v>-17993.2</v>
      </c>
    </row>
    <row r="25" spans="1:85">
      <c r="A25" s="2" t="str">
        <f xml:space="preserve"> _xll.EPMOlapMemberO("[ACCOUNT].[PARENTH1].[303644]","","Parts Coupon Discount New","","000")</f>
        <v>Parts Coupon Discount New</v>
      </c>
      <c r="B25">
        <v>-435208.51</v>
      </c>
      <c r="C25">
        <v>-719405</v>
      </c>
      <c r="D25">
        <v>-605255.84</v>
      </c>
      <c r="E25">
        <v>242850</v>
      </c>
      <c r="F25">
        <v>-543082.19999999995</v>
      </c>
      <c r="G25">
        <v>-472792</v>
      </c>
      <c r="H25">
        <v>-123284.11</v>
      </c>
      <c r="I25">
        <v>-277000</v>
      </c>
      <c r="J25">
        <v>-818715</v>
      </c>
      <c r="K25">
        <v>-305688.15000000002</v>
      </c>
      <c r="L25">
        <v>-188874.28</v>
      </c>
      <c r="M25">
        <v>-1596800.67</v>
      </c>
      <c r="N25">
        <v>-353130</v>
      </c>
      <c r="O25">
        <v>-181071.6</v>
      </c>
      <c r="P25">
        <v>-221824.05</v>
      </c>
      <c r="Q25">
        <v>747.85</v>
      </c>
      <c r="R25">
        <v>-9000</v>
      </c>
      <c r="S25">
        <v>-41500</v>
      </c>
      <c r="T25">
        <v>-27000</v>
      </c>
      <c r="U25">
        <v>-194020</v>
      </c>
      <c r="V25">
        <v>-514877.24</v>
      </c>
      <c r="W25">
        <v>-235921.16</v>
      </c>
      <c r="X25">
        <v>-29360</v>
      </c>
      <c r="Y25">
        <v>-79720</v>
      </c>
      <c r="Z25">
        <v>-16681</v>
      </c>
      <c r="AA25">
        <v>1385</v>
      </c>
      <c r="AB25">
        <v>-45813.599999999999</v>
      </c>
      <c r="AC25">
        <v>-233929</v>
      </c>
      <c r="AD25">
        <v>-151859.42000000001</v>
      </c>
      <c r="AE25">
        <v>-39345</v>
      </c>
      <c r="AF25">
        <v>-126496</v>
      </c>
      <c r="AG25">
        <v>-45318</v>
      </c>
      <c r="AH25">
        <v>-88958</v>
      </c>
      <c r="AI25">
        <v>-75000</v>
      </c>
      <c r="AJ25">
        <v>-43338.15</v>
      </c>
      <c r="AK25">
        <v>-49012.09</v>
      </c>
      <c r="AL25">
        <v>-448135</v>
      </c>
      <c r="AM25">
        <v>-48970</v>
      </c>
      <c r="AN25">
        <v>-495650</v>
      </c>
      <c r="AO25">
        <v>-479390</v>
      </c>
      <c r="AP25">
        <v>-309225</v>
      </c>
      <c r="AQ25">
        <v>-874989.46</v>
      </c>
      <c r="AR25">
        <v>-101556.84</v>
      </c>
      <c r="AS25">
        <v>-39684.53</v>
      </c>
      <c r="AT25">
        <v>-1005249.47</v>
      </c>
      <c r="AU25">
        <v>-598214.19999999995</v>
      </c>
      <c r="AV25">
        <v>-1253725.9099999999</v>
      </c>
      <c r="AW25">
        <v>-1595.42</v>
      </c>
      <c r="AX25">
        <v>-260437.1</v>
      </c>
      <c r="AY25">
        <v>-396428.59</v>
      </c>
      <c r="AZ25">
        <v>-644846.75</v>
      </c>
      <c r="BA25">
        <v>-195097.64</v>
      </c>
      <c r="BB25">
        <v>-688810.58</v>
      </c>
      <c r="BC25">
        <v>-168135</v>
      </c>
      <c r="BD25">
        <v>-547595.99</v>
      </c>
      <c r="BE25">
        <v>-247707.05</v>
      </c>
      <c r="BF25">
        <v>-2437271.56</v>
      </c>
      <c r="BG25">
        <v>-792292.11</v>
      </c>
      <c r="BH25">
        <v>-290116.47999999998</v>
      </c>
      <c r="BI25">
        <v>-787440.8</v>
      </c>
      <c r="BJ25">
        <v>-1104266.8799999999</v>
      </c>
      <c r="BK25">
        <v>-164421.25</v>
      </c>
      <c r="BL25">
        <v>-524327.87</v>
      </c>
      <c r="BM25">
        <v>-88714.69</v>
      </c>
      <c r="BN25">
        <v>-599460.59</v>
      </c>
      <c r="BO25">
        <v>-1556086.12</v>
      </c>
      <c r="BP25">
        <v>-330045.52</v>
      </c>
      <c r="BQ25">
        <v>-46349.27</v>
      </c>
      <c r="BR25">
        <v>-973284.56</v>
      </c>
      <c r="BS25">
        <v>-850840.36</v>
      </c>
      <c r="BT25">
        <v>-317095.46000000002</v>
      </c>
      <c r="BU25">
        <v>-1135124.1000000001</v>
      </c>
      <c r="BV25">
        <v>-399906.12</v>
      </c>
      <c r="BW25">
        <v>12971.3</v>
      </c>
      <c r="BX25">
        <v>-1253984.07</v>
      </c>
      <c r="BY25">
        <v>-392482.16</v>
      </c>
      <c r="BZ25">
        <v>-533837.43999999994</v>
      </c>
      <c r="CA25">
        <v>-612456.03</v>
      </c>
      <c r="CB25">
        <v>-440974.65</v>
      </c>
      <c r="CC25">
        <v>-66346.86</v>
      </c>
      <c r="CD25">
        <v>-459163.32</v>
      </c>
      <c r="CE25">
        <v>-95074.45</v>
      </c>
      <c r="CF25">
        <v>-136420.21</v>
      </c>
      <c r="CG25">
        <v>-1018537.27</v>
      </c>
    </row>
    <row r="26" spans="1:85">
      <c r="A26" s="2" t="str">
        <f xml:space="preserve"> _xll.EPMOlapMemberO("[ACCOUNT].[PARENTH1].[303647]","","LTG Machine Rev","","000")</f>
        <v>LTG Machine Rev</v>
      </c>
      <c r="B26">
        <v>-1166</v>
      </c>
      <c r="D26">
        <v>657363.47</v>
      </c>
      <c r="E26">
        <v>69000</v>
      </c>
      <c r="F26">
        <v>476968</v>
      </c>
      <c r="G26">
        <v>1196000</v>
      </c>
      <c r="I26">
        <v>1187859.98</v>
      </c>
      <c r="J26">
        <v>-250</v>
      </c>
      <c r="K26">
        <v>25929.05</v>
      </c>
      <c r="L26">
        <v>187237.25</v>
      </c>
      <c r="M26">
        <v>313584.5</v>
      </c>
      <c r="N26">
        <v>2462.15</v>
      </c>
      <c r="Q26">
        <v>14748</v>
      </c>
      <c r="R26">
        <v>-14995.8</v>
      </c>
      <c r="S26">
        <v>422482.54</v>
      </c>
      <c r="T26">
        <v>334449.78000000003</v>
      </c>
      <c r="U26">
        <v>-1259.25</v>
      </c>
      <c r="V26">
        <v>13224.29</v>
      </c>
      <c r="W26">
        <v>602044.68000000005</v>
      </c>
      <c r="X26">
        <v>290217</v>
      </c>
      <c r="Y26">
        <v>761814.82</v>
      </c>
      <c r="AB26">
        <v>4672.75</v>
      </c>
      <c r="AC26">
        <v>337979.66</v>
      </c>
      <c r="AE26">
        <v>460000</v>
      </c>
      <c r="AH26">
        <v>2162</v>
      </c>
      <c r="AI26">
        <v>287958</v>
      </c>
      <c r="AK26">
        <v>651976</v>
      </c>
      <c r="AL26">
        <v>1407618.28</v>
      </c>
      <c r="AM26">
        <v>276000</v>
      </c>
      <c r="AN26">
        <v>28</v>
      </c>
      <c r="AO26">
        <v>126966.5</v>
      </c>
      <c r="AP26">
        <v>-126966.51</v>
      </c>
      <c r="AR26">
        <v>-5810.21</v>
      </c>
      <c r="AT26">
        <v>36000</v>
      </c>
      <c r="AU26">
        <v>134991</v>
      </c>
      <c r="AV26">
        <v>284938</v>
      </c>
      <c r="BA26">
        <v>1507.65</v>
      </c>
      <c r="BD26">
        <v>12580.84</v>
      </c>
      <c r="BF26">
        <v>814.2</v>
      </c>
      <c r="BH26">
        <v>-48148.6</v>
      </c>
      <c r="BI26">
        <v>289320</v>
      </c>
      <c r="BL26">
        <v>101760.8</v>
      </c>
      <c r="BO26">
        <v>160906</v>
      </c>
      <c r="BY26">
        <v>26827.3</v>
      </c>
      <c r="CE26">
        <v>1725178.16</v>
      </c>
      <c r="CG26">
        <v>432379.01</v>
      </c>
    </row>
    <row r="27" spans="1:85">
      <c r="A27" s="2" t="str">
        <f xml:space="preserve"> _xll.EPMOlapMemberO("[ACCOUNT].[PARENTH1].[303650]","","LTG Machine Discounts","","000")</f>
        <v>LTG Machine Discounts</v>
      </c>
      <c r="D27">
        <v>-131472.69</v>
      </c>
      <c r="E27">
        <v>-14250</v>
      </c>
      <c r="F27">
        <v>-120468</v>
      </c>
      <c r="G27">
        <v>-386130.73</v>
      </c>
      <c r="I27">
        <v>-340599.98</v>
      </c>
      <c r="L27">
        <v>-38778</v>
      </c>
      <c r="M27">
        <v>-61644.5</v>
      </c>
      <c r="N27">
        <v>-771.65</v>
      </c>
      <c r="S27">
        <v>-141248.5</v>
      </c>
      <c r="T27">
        <v>-66458.63</v>
      </c>
      <c r="V27">
        <v>-3067.05</v>
      </c>
      <c r="W27">
        <v>-80270.039999999994</v>
      </c>
      <c r="X27">
        <v>-93198.76</v>
      </c>
      <c r="Y27">
        <v>-158534.25</v>
      </c>
      <c r="AB27">
        <v>-5120.1000000000004</v>
      </c>
      <c r="AC27">
        <v>-76815.38</v>
      </c>
      <c r="AD27">
        <v>-8000</v>
      </c>
      <c r="AE27">
        <v>-93800</v>
      </c>
      <c r="AG27">
        <v>-4000</v>
      </c>
      <c r="AH27">
        <v>1838</v>
      </c>
      <c r="AI27">
        <v>-129294</v>
      </c>
      <c r="AK27">
        <v>-163392.79999999999</v>
      </c>
      <c r="AL27">
        <v>-317491.59000000003</v>
      </c>
      <c r="AM27">
        <v>-63480</v>
      </c>
      <c r="AN27">
        <v>5992.6</v>
      </c>
      <c r="AU27">
        <v>-33747.75</v>
      </c>
      <c r="AV27">
        <v>-100616.29</v>
      </c>
      <c r="BI27">
        <v>-106759.08</v>
      </c>
      <c r="BQ27">
        <v>-1500</v>
      </c>
      <c r="BR27">
        <v>1500</v>
      </c>
      <c r="CE27">
        <v>-410030.68</v>
      </c>
      <c r="CG27">
        <v>-98195.92</v>
      </c>
    </row>
    <row r="28" spans="1:85">
      <c r="A28" s="2" t="str">
        <f xml:space="preserve"> _xll.EPMOlapMemberO("[ACCOUNT].[PARENTH1].[303662]","","Machine Contra Revenue","","000")</f>
        <v>Machine Contra Revenue</v>
      </c>
      <c r="U28">
        <v>-365205</v>
      </c>
      <c r="V28">
        <v>365205</v>
      </c>
    </row>
    <row r="29" spans="1:85">
      <c r="A29" s="2" t="str">
        <f xml:space="preserve"> _xll.EPMOlapMemberO("[ACCOUNT].[PARENTH1].[303663]","","Contra Machine Discount Model","","000")</f>
        <v>Contra Machine Discount Model</v>
      </c>
      <c r="U29">
        <v>98605.35</v>
      </c>
      <c r="V29">
        <v>-98605.35</v>
      </c>
    </row>
    <row r="30" spans="1:85">
      <c r="A30" s="2" t="str">
        <f xml:space="preserve"> _xll.EPMOlapMemberO("[ACCOUNT].[PARENTH1].[303665]","","MPS Machine discount","","000")</f>
        <v>MPS Machine discount</v>
      </c>
      <c r="AB30">
        <v>-6000</v>
      </c>
      <c r="AD30">
        <v>2000</v>
      </c>
      <c r="AE30">
        <v>4000</v>
      </c>
      <c r="AG30">
        <v>-5000</v>
      </c>
      <c r="AH30">
        <v>5000</v>
      </c>
      <c r="BO30">
        <v>-1500</v>
      </c>
      <c r="BQ30">
        <v>-2250</v>
      </c>
      <c r="BR30">
        <v>3750</v>
      </c>
    </row>
    <row r="31" spans="1:85">
      <c r="A31" s="2" t="str">
        <f xml:space="preserve"> _xll.EPMOlapMemberO("[ACCOUNT].[PARENTH1].[303671]","","New Non-Premium STL Discounts","","000")</f>
        <v>New Non-Premium STL Discounts</v>
      </c>
      <c r="AH31">
        <v>-48653</v>
      </c>
      <c r="AJ31">
        <v>-52075.5</v>
      </c>
      <c r="AK31">
        <v>-77826.25</v>
      </c>
      <c r="AM31">
        <v>-11550</v>
      </c>
      <c r="AN31">
        <v>-73605.75</v>
      </c>
      <c r="AO31">
        <v>-163270.16</v>
      </c>
      <c r="AP31">
        <v>0</v>
      </c>
      <c r="AS31">
        <v>-115136.5</v>
      </c>
      <c r="AV31">
        <v>-54175.25</v>
      </c>
      <c r="AW31">
        <v>-465513.73</v>
      </c>
      <c r="AX31">
        <v>-157702</v>
      </c>
      <c r="AZ31">
        <v>-756665.13</v>
      </c>
      <c r="BA31">
        <v>-158003.42000000001</v>
      </c>
      <c r="BB31">
        <v>-271062</v>
      </c>
      <c r="BC31">
        <v>-144187.5</v>
      </c>
      <c r="BD31">
        <v>20217.009999999998</v>
      </c>
      <c r="BE31">
        <v>-212945.25</v>
      </c>
      <c r="BF31">
        <v>77227.490000000005</v>
      </c>
      <c r="BG31">
        <v>-50556.25</v>
      </c>
      <c r="BH31">
        <v>-30780</v>
      </c>
      <c r="BJ31">
        <v>-15590</v>
      </c>
      <c r="BK31">
        <v>-4995</v>
      </c>
      <c r="BM31">
        <v>-166516.6</v>
      </c>
      <c r="BN31">
        <v>-7873.66</v>
      </c>
      <c r="BO31">
        <v>-173103.25</v>
      </c>
      <c r="BT31">
        <v>-131449.25</v>
      </c>
      <c r="BW31">
        <v>-12559.5</v>
      </c>
      <c r="BZ31">
        <v>-29652.5</v>
      </c>
      <c r="CE31">
        <v>-7143</v>
      </c>
      <c r="CF31">
        <v>-72474.33</v>
      </c>
    </row>
    <row r="32" spans="1:85">
      <c r="A32" s="2" t="str">
        <f xml:space="preserve"> _xll.EPMOlapMemberO("[ACCOUNT].[PARENTH1].[303673]","","STL Disc Dfd Int - New Machines","","000")</f>
        <v>STL Disc Dfd Int - New Machines</v>
      </c>
      <c r="BF32">
        <v>-166566.99</v>
      </c>
      <c r="BG32">
        <v>-86263</v>
      </c>
      <c r="BH32">
        <v>-136525</v>
      </c>
      <c r="BJ32">
        <v>-60727</v>
      </c>
      <c r="BK32">
        <v>-24445</v>
      </c>
      <c r="BM32">
        <v>-222091</v>
      </c>
      <c r="BN32">
        <v>-73968</v>
      </c>
      <c r="BO32">
        <v>-611940.01</v>
      </c>
      <c r="BQ32">
        <v>-85403</v>
      </c>
      <c r="BR32">
        <v>271855.17</v>
      </c>
      <c r="BS32">
        <v>-667637.77</v>
      </c>
      <c r="BT32">
        <v>-151708</v>
      </c>
      <c r="BW32">
        <v>109204.2</v>
      </c>
      <c r="BX32">
        <v>-23595</v>
      </c>
      <c r="BZ32">
        <v>-26920</v>
      </c>
      <c r="CA32">
        <v>-137316</v>
      </c>
      <c r="CE32">
        <v>-3063</v>
      </c>
      <c r="CF32">
        <v>-27162</v>
      </c>
    </row>
    <row r="33" spans="1:85">
      <c r="A33" s="2" t="str">
        <f xml:space="preserve"> _xll.EPMOlapMemberO("[ACCOUNT].[PARENTH1].[303668]","","New Machine Concession Distr_ExtPay","","000")</f>
        <v>New Machine Concession Distr_ExtPay</v>
      </c>
    </row>
    <row r="34" spans="1:85">
      <c r="A34" s="1" t="str">
        <f xml:space="preserve"> _xll.EPMOlapMemberO("[ACCOUNT].[PARENTH1].[RPTERMGAM2]","","Slot Terminals - New","","000")</f>
        <v>Slot Terminals - New</v>
      </c>
      <c r="B34">
        <f>SUM(B11:B33)</f>
        <v>6245016.5899999989</v>
      </c>
      <c r="C34">
        <f t="shared" ref="C34:BN34" si="0">SUM(C11:C33)</f>
        <v>6909238.0899999999</v>
      </c>
      <c r="D34">
        <f t="shared" si="0"/>
        <v>47233202.550000004</v>
      </c>
      <c r="E34">
        <f t="shared" si="0"/>
        <v>8741238.7600000016</v>
      </c>
      <c r="F34">
        <f t="shared" si="0"/>
        <v>16757634</v>
      </c>
      <c r="G34">
        <f t="shared" si="0"/>
        <v>44359687.820000008</v>
      </c>
      <c r="H34">
        <f t="shared" si="0"/>
        <v>9766846.4999999981</v>
      </c>
      <c r="I34">
        <f t="shared" si="0"/>
        <v>16511283.289999999</v>
      </c>
      <c r="J34">
        <f t="shared" si="0"/>
        <v>44207467.100000001</v>
      </c>
      <c r="K34">
        <f t="shared" si="0"/>
        <v>14243624.890000001</v>
      </c>
      <c r="L34">
        <f t="shared" si="0"/>
        <v>21812716.549999997</v>
      </c>
      <c r="M34">
        <f t="shared" si="0"/>
        <v>69743297.820000023</v>
      </c>
      <c r="N34">
        <f t="shared" si="0"/>
        <v>5774370.3100000005</v>
      </c>
      <c r="O34">
        <f t="shared" si="0"/>
        <v>6542262.1100000003</v>
      </c>
      <c r="P34">
        <f t="shared" si="0"/>
        <v>14049683.859999996</v>
      </c>
      <c r="Q34">
        <f t="shared" si="0"/>
        <v>1203872.2500000002</v>
      </c>
      <c r="R34">
        <f t="shared" si="0"/>
        <v>7729879.2400000012</v>
      </c>
      <c r="S34">
        <f t="shared" si="0"/>
        <v>30348493.240000002</v>
      </c>
      <c r="T34">
        <f t="shared" si="0"/>
        <v>4470789.6499999994</v>
      </c>
      <c r="U34">
        <f t="shared" si="0"/>
        <v>10189452.180000002</v>
      </c>
      <c r="V34">
        <f t="shared" si="0"/>
        <v>20892663.239999998</v>
      </c>
      <c r="W34">
        <f t="shared" si="0"/>
        <v>7863614.9600000009</v>
      </c>
      <c r="X34">
        <f t="shared" si="0"/>
        <v>6797892.8900000006</v>
      </c>
      <c r="Y34">
        <f t="shared" si="0"/>
        <v>25210555.920000002</v>
      </c>
      <c r="Z34">
        <f t="shared" si="0"/>
        <v>6898278.79</v>
      </c>
      <c r="AA34">
        <f t="shared" si="0"/>
        <v>10042366.389999999</v>
      </c>
      <c r="AB34">
        <f t="shared" si="0"/>
        <v>19921348.239999998</v>
      </c>
      <c r="AC34">
        <f t="shared" si="0"/>
        <v>10132511.510000002</v>
      </c>
      <c r="AD34">
        <f t="shared" si="0"/>
        <v>13860176.839999996</v>
      </c>
      <c r="AE34">
        <f t="shared" si="0"/>
        <v>27501536.440000001</v>
      </c>
      <c r="AF34">
        <f t="shared" si="0"/>
        <v>13857241.050000003</v>
      </c>
      <c r="AG34">
        <f t="shared" si="0"/>
        <v>12312420.08</v>
      </c>
      <c r="AH34">
        <f t="shared" si="0"/>
        <v>21705332.91</v>
      </c>
      <c r="AI34">
        <f t="shared" si="0"/>
        <v>13355980.309999999</v>
      </c>
      <c r="AJ34">
        <f t="shared" si="0"/>
        <v>15810242.999999998</v>
      </c>
      <c r="AK34">
        <f t="shared" si="0"/>
        <v>44301879.93</v>
      </c>
      <c r="AL34">
        <f t="shared" si="0"/>
        <v>18299288.719999999</v>
      </c>
      <c r="AM34">
        <f t="shared" si="0"/>
        <v>16572107.68</v>
      </c>
      <c r="AN34">
        <f t="shared" si="0"/>
        <v>39433767.68</v>
      </c>
      <c r="AO34">
        <f t="shared" si="0"/>
        <v>11304784.079999998</v>
      </c>
      <c r="AP34">
        <f t="shared" si="0"/>
        <v>13406402.32</v>
      </c>
      <c r="AQ34">
        <f t="shared" si="0"/>
        <v>47802360.549999997</v>
      </c>
      <c r="AR34">
        <f t="shared" si="0"/>
        <v>12037352.619999997</v>
      </c>
      <c r="AS34">
        <f t="shared" si="0"/>
        <v>27682663.779999997</v>
      </c>
      <c r="AT34">
        <f t="shared" si="0"/>
        <v>61469870.769999996</v>
      </c>
      <c r="AU34">
        <f t="shared" si="0"/>
        <v>16072946.030000003</v>
      </c>
      <c r="AV34">
        <f t="shared" si="0"/>
        <v>35305276.430000007</v>
      </c>
      <c r="AW34">
        <f t="shared" si="0"/>
        <v>62929684.290000007</v>
      </c>
      <c r="AX34">
        <f t="shared" si="0"/>
        <v>18996759.969999999</v>
      </c>
      <c r="AY34">
        <f t="shared" si="0"/>
        <v>25985047.91</v>
      </c>
      <c r="AZ34">
        <f t="shared" si="0"/>
        <v>58818789.690000005</v>
      </c>
      <c r="BA34">
        <f t="shared" si="0"/>
        <v>21689026.539999999</v>
      </c>
      <c r="BB34">
        <f t="shared" si="0"/>
        <v>37825782.45000001</v>
      </c>
      <c r="BC34">
        <f t="shared" si="0"/>
        <v>44929786.399999999</v>
      </c>
      <c r="BD34">
        <f t="shared" si="0"/>
        <v>18563241.460000005</v>
      </c>
      <c r="BE34">
        <f t="shared" si="0"/>
        <v>35881715.760000005</v>
      </c>
      <c r="BF34">
        <f t="shared" si="0"/>
        <v>42956474.110000007</v>
      </c>
      <c r="BG34">
        <f t="shared" si="0"/>
        <v>23583053.25</v>
      </c>
      <c r="BH34">
        <f t="shared" si="0"/>
        <v>31681145.689999998</v>
      </c>
      <c r="BI34">
        <f t="shared" si="0"/>
        <v>52115084.790000007</v>
      </c>
      <c r="BJ34">
        <f t="shared" si="0"/>
        <v>11231764.009999998</v>
      </c>
      <c r="BK34">
        <f t="shared" si="0"/>
        <v>21818612.989999998</v>
      </c>
      <c r="BL34">
        <f t="shared" si="0"/>
        <v>51505060.769999996</v>
      </c>
      <c r="BM34">
        <f t="shared" si="0"/>
        <v>13874920.380000003</v>
      </c>
      <c r="BN34">
        <f t="shared" si="0"/>
        <v>17951265.609999999</v>
      </c>
      <c r="BO34">
        <f t="shared" ref="BO34:CG34" si="1">SUM(BO11:BO33)</f>
        <v>50360265.300000012</v>
      </c>
      <c r="BP34">
        <f t="shared" si="1"/>
        <v>14520977.860000001</v>
      </c>
      <c r="BQ34">
        <f t="shared" si="1"/>
        <v>27093361.160000004</v>
      </c>
      <c r="BR34">
        <f t="shared" si="1"/>
        <v>49619568.620000005</v>
      </c>
      <c r="BS34">
        <f t="shared" si="1"/>
        <v>17484791.829999998</v>
      </c>
      <c r="BT34">
        <f t="shared" si="1"/>
        <v>28172763.93</v>
      </c>
      <c r="BU34">
        <f t="shared" si="1"/>
        <v>80499466.530000001</v>
      </c>
      <c r="BV34">
        <f t="shared" si="1"/>
        <v>9912083.7300000004</v>
      </c>
      <c r="BW34">
        <f t="shared" si="1"/>
        <v>19386124.18</v>
      </c>
      <c r="BX34">
        <f t="shared" si="1"/>
        <v>45118185.409999996</v>
      </c>
      <c r="BY34">
        <f t="shared" si="1"/>
        <v>8255162.3499999987</v>
      </c>
      <c r="BZ34">
        <f t="shared" si="1"/>
        <v>17837307.999999996</v>
      </c>
      <c r="CA34">
        <f t="shared" si="1"/>
        <v>38654685.860000007</v>
      </c>
      <c r="CB34">
        <f t="shared" si="1"/>
        <v>14353264.879999997</v>
      </c>
      <c r="CC34">
        <f t="shared" si="1"/>
        <v>32115333.090000007</v>
      </c>
      <c r="CD34">
        <f t="shared" si="1"/>
        <v>48369301.270000003</v>
      </c>
      <c r="CE34">
        <f t="shared" si="1"/>
        <v>23831669.970000003</v>
      </c>
      <c r="CF34">
        <f t="shared" si="1"/>
        <v>28277879.169999998</v>
      </c>
      <c r="CG34">
        <f t="shared" si="1"/>
        <v>86505502.260000005</v>
      </c>
    </row>
    <row r="35" spans="1:85">
      <c r="A35" s="2" t="str">
        <f xml:space="preserve"> _xll.EPMOlapMemberO("[ACCOUNT].[PARENTH1].[303366]","","Used Non Premium STL Revenue","","000")</f>
        <v>Used Non Premium STL Revenue</v>
      </c>
      <c r="AM35">
        <v>138600</v>
      </c>
      <c r="AP35">
        <v>286188.32</v>
      </c>
      <c r="AQ35">
        <v>283755.56</v>
      </c>
      <c r="BI35">
        <v>63862.53</v>
      </c>
      <c r="BJ35">
        <v>-75007.5</v>
      </c>
    </row>
    <row r="36" spans="1:85">
      <c r="A36" s="2" t="str">
        <f xml:space="preserve"> _xll.EPMOlapMemberO("[ACCOUNT].[PARENTH1].[303653]","","Sales Disc USED Machines","","000")</f>
        <v>Sales Disc USED Machines</v>
      </c>
      <c r="B36">
        <v>-183423.66</v>
      </c>
      <c r="C36">
        <v>-41537</v>
      </c>
      <c r="D36">
        <v>-463216.53</v>
      </c>
      <c r="E36">
        <v>-183671.6</v>
      </c>
      <c r="F36">
        <v>-261905.86</v>
      </c>
      <c r="G36">
        <v>-617641.69999999995</v>
      </c>
      <c r="H36">
        <v>-198851.24</v>
      </c>
      <c r="I36">
        <v>-113598.37</v>
      </c>
      <c r="J36">
        <v>-1007068.04</v>
      </c>
      <c r="K36">
        <v>-163081.5</v>
      </c>
      <c r="L36">
        <v>-428636.7</v>
      </c>
      <c r="M36">
        <v>-768959.05</v>
      </c>
      <c r="N36">
        <v>-144555.03</v>
      </c>
      <c r="O36">
        <v>-220710.5</v>
      </c>
      <c r="P36">
        <v>-448647.71</v>
      </c>
      <c r="R36">
        <v>-365380</v>
      </c>
      <c r="S36">
        <v>-450410.17</v>
      </c>
      <c r="T36">
        <v>-256620.62</v>
      </c>
      <c r="U36">
        <v>-117627.64</v>
      </c>
      <c r="V36">
        <v>-456467.7</v>
      </c>
      <c r="W36">
        <v>-371459.8</v>
      </c>
      <c r="X36">
        <v>-319263.87</v>
      </c>
      <c r="Y36">
        <v>-2222326</v>
      </c>
      <c r="Z36">
        <v>-385160.97</v>
      </c>
      <c r="AA36">
        <v>-338287.56</v>
      </c>
      <c r="AB36">
        <v>-1004362.96</v>
      </c>
      <c r="AC36">
        <v>-510376.35</v>
      </c>
      <c r="AD36">
        <v>-720315.8</v>
      </c>
      <c r="AE36">
        <v>-1727436.94</v>
      </c>
      <c r="AF36">
        <v>-1171169.96</v>
      </c>
      <c r="AG36">
        <v>-620310.81999999995</v>
      </c>
      <c r="AH36">
        <v>-1439756.2</v>
      </c>
      <c r="AI36">
        <v>-450626.61</v>
      </c>
      <c r="AJ36">
        <v>-702770.99</v>
      </c>
      <c r="AK36">
        <v>-979182.07</v>
      </c>
      <c r="AL36">
        <v>-402484.42</v>
      </c>
      <c r="AM36">
        <v>-359821.9</v>
      </c>
      <c r="AN36">
        <v>-440451.3</v>
      </c>
      <c r="AO36">
        <v>-229187.09</v>
      </c>
      <c r="AP36">
        <v>-265485.18</v>
      </c>
      <c r="AQ36">
        <v>-812684.72</v>
      </c>
      <c r="AR36">
        <v>-64295.7</v>
      </c>
      <c r="AS36">
        <v>-156880.64000000001</v>
      </c>
      <c r="AT36">
        <v>-343946.44</v>
      </c>
      <c r="AU36">
        <v>-146089.07999999999</v>
      </c>
      <c r="AV36">
        <v>-246057.35</v>
      </c>
      <c r="AW36">
        <v>-745626.48</v>
      </c>
      <c r="AX36">
        <v>-139605.59</v>
      </c>
      <c r="AY36">
        <v>-71759.87</v>
      </c>
      <c r="AZ36">
        <v>-153353.44</v>
      </c>
      <c r="BA36">
        <v>-82279.5</v>
      </c>
      <c r="BB36">
        <v>-105863.51</v>
      </c>
      <c r="BC36">
        <v>-528663.73</v>
      </c>
      <c r="BD36">
        <v>-499852.48</v>
      </c>
      <c r="BE36">
        <v>-515598.38</v>
      </c>
      <c r="BF36">
        <v>-673999.29</v>
      </c>
      <c r="BG36">
        <v>-111234.36</v>
      </c>
      <c r="BH36">
        <v>-299520.74</v>
      </c>
      <c r="BI36">
        <v>-203779.95</v>
      </c>
      <c r="BJ36">
        <v>-280692.59000000003</v>
      </c>
      <c r="BK36">
        <v>-100571.56</v>
      </c>
      <c r="BL36">
        <v>-338009.91</v>
      </c>
      <c r="BM36">
        <v>-131021.22</v>
      </c>
      <c r="BN36">
        <v>-268281.83</v>
      </c>
      <c r="BO36">
        <v>-457214.57</v>
      </c>
      <c r="BP36">
        <v>-114251.09</v>
      </c>
      <c r="BQ36">
        <v>-23438.27</v>
      </c>
      <c r="BR36">
        <v>-793663.48</v>
      </c>
      <c r="BS36">
        <v>-110456.6</v>
      </c>
      <c r="BT36">
        <v>-97245.82</v>
      </c>
      <c r="BU36">
        <v>-2568142.27</v>
      </c>
      <c r="BV36">
        <v>-251922.2</v>
      </c>
      <c r="BW36">
        <v>-657850.34</v>
      </c>
      <c r="BX36">
        <v>-1494478.08</v>
      </c>
      <c r="BY36">
        <v>-204141.62</v>
      </c>
      <c r="BZ36">
        <v>-367362.62</v>
      </c>
      <c r="CA36">
        <v>-1581171.29</v>
      </c>
      <c r="CB36">
        <v>-1442921.71</v>
      </c>
      <c r="CC36">
        <v>-411691.54</v>
      </c>
      <c r="CD36">
        <v>-2047506.41</v>
      </c>
      <c r="CE36">
        <v>739987.07</v>
      </c>
      <c r="CF36">
        <v>-2331049.52</v>
      </c>
      <c r="CG36">
        <v>-529750.6</v>
      </c>
    </row>
    <row r="37" spans="1:85">
      <c r="A37" s="2" t="str">
        <f xml:space="preserve"> _xll.EPMOlapMemberO("[ACCOUNT].[PARENTH1].[303672]","","Used Non Premium STL Discounts","","000")</f>
        <v>Used Non Premium STL Discounts</v>
      </c>
      <c r="AM37">
        <v>-23100</v>
      </c>
    </row>
    <row r="38" spans="1:85">
      <c r="A38" s="2" t="str">
        <f xml:space="preserve"> _xll.EPMOlapMemberO("[ACCOUNT].[PARENTH1].[303654]","","USED Mach Discount Recovery","","000")</f>
        <v>USED Mach Discount Recovery</v>
      </c>
    </row>
    <row r="39" spans="1:85">
      <c r="A39" s="2" t="str">
        <f xml:space="preserve"> _xll.EPMOlapMemberO("[ACCOUNT].[PARENTH1].[303655]","","Disc Dfrd Int Mach USED","","000")</f>
        <v>Disc Dfrd Int Mach USED</v>
      </c>
      <c r="BR39">
        <v>-13376.11</v>
      </c>
      <c r="BX39">
        <v>-41146.75</v>
      </c>
      <c r="CA39">
        <v>-5284.7</v>
      </c>
    </row>
    <row r="40" spans="1:85">
      <c r="A40" s="2" t="str">
        <f xml:space="preserve"> _xll.EPMOlapMemberO("[ACCOUNT].[PARENTH1].[303656]","","USED Machine Concession","","000")</f>
        <v>USED Machine Concession</v>
      </c>
    </row>
    <row r="41" spans="1:85">
      <c r="A41" s="2" t="str">
        <f xml:space="preserve"> _xll.EPMOlapMemberO("[ACCOUNT].[PARENTH1].[303667]","","ETG Used Discount","","000")</f>
        <v>ETG Used Discount</v>
      </c>
      <c r="AV41">
        <v>-33747.75</v>
      </c>
    </row>
    <row r="42" spans="1:85">
      <c r="A42" s="2" t="str">
        <f xml:space="preserve"> _xll.EPMOlapMemberO("[ACCOUNT].[PARENTH1].[303842]","","Used Machines Discounts Recognized","","000")</f>
        <v>Used Machines Discounts Recognized</v>
      </c>
      <c r="M42">
        <v>-12800</v>
      </c>
    </row>
    <row r="43" spans="1:85">
      <c r="A43" s="2" t="str">
        <f xml:space="preserve"> _xll.EPMOlapMemberO("[ACCOUNT].[PARENTH1].[303843]","","Used Machines Discounts Deferred","","000")</f>
        <v>Used Machines Discounts Deferred</v>
      </c>
    </row>
    <row r="44" spans="1:85">
      <c r="A44" s="2" t="str">
        <f xml:space="preserve"> _xll.EPMOlapMemberO("[ACCOUNT].[PARENTH1].[303848]","","NRV Used Discount Contra","","000")</f>
        <v>NRV Used Discount Contra</v>
      </c>
      <c r="B44">
        <v>33568.39</v>
      </c>
      <c r="C44">
        <v>64333.86</v>
      </c>
      <c r="D44">
        <v>0.94</v>
      </c>
      <c r="E44">
        <v>17732.86</v>
      </c>
      <c r="F44">
        <v>41929.370000000003</v>
      </c>
      <c r="G44">
        <v>24937.439999999999</v>
      </c>
      <c r="L44">
        <v>38446.080000000002</v>
      </c>
      <c r="M44">
        <v>-45957.46</v>
      </c>
      <c r="N44">
        <v>88877.63</v>
      </c>
      <c r="P44">
        <v>0.81</v>
      </c>
      <c r="Q44">
        <v>6953.99</v>
      </c>
      <c r="S44">
        <v>0.28000000000000003</v>
      </c>
      <c r="T44">
        <v>0.12</v>
      </c>
      <c r="V44">
        <v>20861.3</v>
      </c>
      <c r="Y44">
        <v>0.16</v>
      </c>
      <c r="BG44">
        <v>561482.04</v>
      </c>
      <c r="BH44">
        <v>57102.77</v>
      </c>
      <c r="BI44">
        <v>-150016.66</v>
      </c>
      <c r="BL44">
        <v>51259.82</v>
      </c>
      <c r="BT44">
        <v>374545.75</v>
      </c>
      <c r="BU44">
        <v>157643.82</v>
      </c>
    </row>
    <row r="45" spans="1:85">
      <c r="A45" s="2" t="str">
        <f xml:space="preserve"> _xll.EPMOlapMemberO("[ACCOUNT].[PARENTH1].[303850]","","Terminals - Used - GAM","","000")</f>
        <v>Terminals - Used - GAM</v>
      </c>
      <c r="B45">
        <v>903902.39</v>
      </c>
      <c r="C45">
        <v>698983.26</v>
      </c>
      <c r="D45">
        <v>2026798.2</v>
      </c>
      <c r="E45">
        <v>623040</v>
      </c>
      <c r="F45">
        <v>1294165</v>
      </c>
      <c r="G45">
        <v>2326906.4</v>
      </c>
      <c r="H45">
        <v>684206</v>
      </c>
      <c r="I45">
        <v>898247</v>
      </c>
      <c r="J45">
        <v>3092467</v>
      </c>
      <c r="K45">
        <v>471746</v>
      </c>
      <c r="L45">
        <v>1754029.58</v>
      </c>
      <c r="M45">
        <v>4156868.64</v>
      </c>
      <c r="N45">
        <v>603287.84</v>
      </c>
      <c r="O45">
        <v>2037606</v>
      </c>
      <c r="P45">
        <v>1696165.9</v>
      </c>
      <c r="R45">
        <v>717336</v>
      </c>
      <c r="S45">
        <v>982476.26</v>
      </c>
      <c r="T45">
        <v>722394</v>
      </c>
      <c r="U45">
        <v>495144</v>
      </c>
      <c r="V45">
        <v>1245951.27</v>
      </c>
      <c r="W45">
        <v>1539823</v>
      </c>
      <c r="X45">
        <v>1284411</v>
      </c>
      <c r="Y45">
        <v>7631838.9800000004</v>
      </c>
      <c r="Z45">
        <v>1450657.64</v>
      </c>
      <c r="AA45">
        <v>1316441</v>
      </c>
      <c r="AB45">
        <v>2703689</v>
      </c>
      <c r="AC45">
        <v>1979763</v>
      </c>
      <c r="AD45">
        <v>2283376.2000000002</v>
      </c>
      <c r="AE45">
        <v>5811877.0999999996</v>
      </c>
      <c r="AF45">
        <v>3566534.44</v>
      </c>
      <c r="AG45">
        <v>2096147</v>
      </c>
      <c r="AH45">
        <v>4947082</v>
      </c>
      <c r="AI45">
        <v>832595</v>
      </c>
      <c r="AJ45">
        <v>2971857</v>
      </c>
      <c r="AK45">
        <v>3471535.14</v>
      </c>
      <c r="AL45">
        <v>1916481</v>
      </c>
      <c r="AM45">
        <v>2098290</v>
      </c>
      <c r="AN45">
        <v>2313570.6800000002</v>
      </c>
      <c r="AO45">
        <v>930804.65</v>
      </c>
      <c r="AP45">
        <v>1908635</v>
      </c>
      <c r="AQ45">
        <v>2734676.96</v>
      </c>
      <c r="AR45">
        <v>-7742</v>
      </c>
      <c r="AS45">
        <v>693216</v>
      </c>
      <c r="AT45">
        <v>1707696.81</v>
      </c>
      <c r="AU45">
        <v>518332.56</v>
      </c>
      <c r="AV45">
        <v>1005573.2</v>
      </c>
      <c r="AW45">
        <v>2019720.72</v>
      </c>
      <c r="AX45">
        <v>637722.48</v>
      </c>
      <c r="AY45">
        <v>380038.04</v>
      </c>
      <c r="AZ45">
        <v>1312964.04</v>
      </c>
      <c r="BA45">
        <v>278661</v>
      </c>
      <c r="BB45">
        <v>555037</v>
      </c>
      <c r="BC45">
        <v>2019299</v>
      </c>
      <c r="BD45">
        <v>1642410</v>
      </c>
      <c r="BE45">
        <v>1985286</v>
      </c>
      <c r="BF45">
        <v>3003833.5</v>
      </c>
      <c r="BG45">
        <v>587369</v>
      </c>
      <c r="BH45">
        <v>2057681.76</v>
      </c>
      <c r="BI45">
        <v>978612</v>
      </c>
      <c r="BJ45">
        <v>1113892</v>
      </c>
      <c r="BK45">
        <v>530138</v>
      </c>
      <c r="BL45">
        <v>981683</v>
      </c>
      <c r="BM45">
        <v>946789.97</v>
      </c>
      <c r="BN45">
        <v>572486.03</v>
      </c>
      <c r="BO45">
        <v>1989894.42</v>
      </c>
      <c r="BP45">
        <v>402505.05</v>
      </c>
      <c r="BQ45">
        <v>47053</v>
      </c>
      <c r="BR45">
        <v>3780871.32</v>
      </c>
      <c r="BS45">
        <v>1001623.02</v>
      </c>
      <c r="BT45">
        <v>-244839.4</v>
      </c>
      <c r="BU45">
        <v>9803332.5999999996</v>
      </c>
      <c r="BV45">
        <v>806532</v>
      </c>
      <c r="BW45">
        <v>1785953.27</v>
      </c>
      <c r="BX45">
        <v>4397027</v>
      </c>
      <c r="BY45">
        <v>590739</v>
      </c>
      <c r="BZ45">
        <v>1255083</v>
      </c>
      <c r="CA45">
        <v>6689835.2999999998</v>
      </c>
      <c r="CB45">
        <v>1266820</v>
      </c>
      <c r="CC45">
        <v>1559558</v>
      </c>
      <c r="CD45">
        <v>5843847.9199999999</v>
      </c>
      <c r="CE45">
        <v>55369</v>
      </c>
      <c r="CF45">
        <v>7281984</v>
      </c>
      <c r="CG45">
        <v>1928080.56</v>
      </c>
    </row>
    <row r="46" spans="1:85">
      <c r="A46" s="2" t="str">
        <f xml:space="preserve"> _xll.EPMOlapMemberO("[ACCOUNT].[PARENTH1].[303861]","","ETG Used Revenue","","000")</f>
        <v>ETG Used Revenue</v>
      </c>
      <c r="AV46">
        <v>134991</v>
      </c>
    </row>
    <row r="47" spans="1:85">
      <c r="A47" s="1" t="str">
        <f xml:space="preserve"> _xll.EPMOlapMemberO("[ACCOUNT].[PARENTH1].[RPGTERMUSE]","","Slot Terminals - Used","","000")</f>
        <v>Slot Terminals - Used</v>
      </c>
      <c r="B47">
        <f>SUM(B35:B46)</f>
        <v>754047.12</v>
      </c>
      <c r="C47">
        <f t="shared" ref="C47:BN47" si="2">SUM(C35:C46)</f>
        <v>721780.12</v>
      </c>
      <c r="D47">
        <f t="shared" si="2"/>
        <v>1563582.6099999999</v>
      </c>
      <c r="E47">
        <f t="shared" si="2"/>
        <v>457101.26</v>
      </c>
      <c r="F47">
        <f t="shared" si="2"/>
        <v>1074188.51</v>
      </c>
      <c r="G47">
        <f t="shared" si="2"/>
        <v>1734202.14</v>
      </c>
      <c r="H47">
        <f t="shared" si="2"/>
        <v>485354.76</v>
      </c>
      <c r="I47">
        <f t="shared" si="2"/>
        <v>784648.63</v>
      </c>
      <c r="J47">
        <f t="shared" si="2"/>
        <v>2085398.96</v>
      </c>
      <c r="K47">
        <f t="shared" si="2"/>
        <v>308664.5</v>
      </c>
      <c r="L47">
        <f t="shared" si="2"/>
        <v>1363838.96</v>
      </c>
      <c r="M47">
        <f t="shared" si="2"/>
        <v>3329152.13</v>
      </c>
      <c r="N47">
        <f t="shared" si="2"/>
        <v>547610.43999999994</v>
      </c>
      <c r="O47">
        <f t="shared" si="2"/>
        <v>1816895.5</v>
      </c>
      <c r="P47">
        <f t="shared" si="2"/>
        <v>1247519</v>
      </c>
      <c r="Q47">
        <f t="shared" si="2"/>
        <v>6953.99</v>
      </c>
      <c r="R47">
        <f t="shared" si="2"/>
        <v>351956</v>
      </c>
      <c r="S47">
        <f t="shared" si="2"/>
        <v>532066.37000000011</v>
      </c>
      <c r="T47">
        <f t="shared" si="2"/>
        <v>465773.5</v>
      </c>
      <c r="U47">
        <f t="shared" si="2"/>
        <v>377516.36</v>
      </c>
      <c r="V47">
        <f t="shared" si="2"/>
        <v>810344.87</v>
      </c>
      <c r="W47">
        <f t="shared" si="2"/>
        <v>1168363.2</v>
      </c>
      <c r="X47">
        <f t="shared" si="2"/>
        <v>965147.13</v>
      </c>
      <c r="Y47">
        <f t="shared" si="2"/>
        <v>5409513.1400000006</v>
      </c>
      <c r="Z47">
        <f t="shared" si="2"/>
        <v>1065496.67</v>
      </c>
      <c r="AA47">
        <f t="shared" si="2"/>
        <v>978153.44</v>
      </c>
      <c r="AB47">
        <f t="shared" si="2"/>
        <v>1699326.04</v>
      </c>
      <c r="AC47">
        <f t="shared" si="2"/>
        <v>1469386.65</v>
      </c>
      <c r="AD47">
        <f t="shared" si="2"/>
        <v>1563060.4000000001</v>
      </c>
      <c r="AE47">
        <f t="shared" si="2"/>
        <v>4084440.1599999997</v>
      </c>
      <c r="AF47">
        <f t="shared" si="2"/>
        <v>2395364.48</v>
      </c>
      <c r="AG47">
        <f t="shared" si="2"/>
        <v>1475836.1800000002</v>
      </c>
      <c r="AH47">
        <f t="shared" si="2"/>
        <v>3507325.8</v>
      </c>
      <c r="AI47">
        <f t="shared" si="2"/>
        <v>381968.39</v>
      </c>
      <c r="AJ47">
        <f t="shared" si="2"/>
        <v>2269086.0099999998</v>
      </c>
      <c r="AK47">
        <f t="shared" si="2"/>
        <v>2492353.0700000003</v>
      </c>
      <c r="AL47">
        <f t="shared" si="2"/>
        <v>1513996.58</v>
      </c>
      <c r="AM47">
        <f t="shared" si="2"/>
        <v>1853968.1</v>
      </c>
      <c r="AN47">
        <f t="shared" si="2"/>
        <v>1873119.3800000001</v>
      </c>
      <c r="AO47">
        <f t="shared" si="2"/>
        <v>701617.56</v>
      </c>
      <c r="AP47">
        <f t="shared" si="2"/>
        <v>1929338.1400000001</v>
      </c>
      <c r="AQ47">
        <f t="shared" si="2"/>
        <v>2205747.7999999998</v>
      </c>
      <c r="AR47">
        <f t="shared" si="2"/>
        <v>-72037.7</v>
      </c>
      <c r="AS47">
        <f t="shared" si="2"/>
        <v>536335.35999999999</v>
      </c>
      <c r="AT47">
        <f t="shared" si="2"/>
        <v>1363750.37</v>
      </c>
      <c r="AU47">
        <f t="shared" si="2"/>
        <v>372243.48</v>
      </c>
      <c r="AV47">
        <f t="shared" si="2"/>
        <v>860759.1</v>
      </c>
      <c r="AW47">
        <f t="shared" si="2"/>
        <v>1274094.24</v>
      </c>
      <c r="AX47">
        <f t="shared" si="2"/>
        <v>498116.89</v>
      </c>
      <c r="AY47">
        <f t="shared" si="2"/>
        <v>308278.17</v>
      </c>
      <c r="AZ47">
        <f t="shared" si="2"/>
        <v>1159610.6000000001</v>
      </c>
      <c r="BA47">
        <f t="shared" si="2"/>
        <v>196381.5</v>
      </c>
      <c r="BB47">
        <f t="shared" si="2"/>
        <v>449173.49</v>
      </c>
      <c r="BC47">
        <f t="shared" si="2"/>
        <v>1490635.27</v>
      </c>
      <c r="BD47">
        <f t="shared" si="2"/>
        <v>1142557.52</v>
      </c>
      <c r="BE47">
        <f t="shared" si="2"/>
        <v>1469687.62</v>
      </c>
      <c r="BF47">
        <f t="shared" si="2"/>
        <v>2329834.21</v>
      </c>
      <c r="BG47">
        <f t="shared" si="2"/>
        <v>1037616.68</v>
      </c>
      <c r="BH47">
        <f t="shared" si="2"/>
        <v>1815263.79</v>
      </c>
      <c r="BI47">
        <f t="shared" si="2"/>
        <v>688677.91999999993</v>
      </c>
      <c r="BJ47">
        <f t="shared" si="2"/>
        <v>758191.90999999992</v>
      </c>
      <c r="BK47">
        <f t="shared" si="2"/>
        <v>429566.44</v>
      </c>
      <c r="BL47">
        <f t="shared" si="2"/>
        <v>694932.91</v>
      </c>
      <c r="BM47">
        <f t="shared" si="2"/>
        <v>815768.75</v>
      </c>
      <c r="BN47">
        <f t="shared" si="2"/>
        <v>304204.2</v>
      </c>
      <c r="BO47">
        <f t="shared" ref="BO47:CG47" si="3">SUM(BO35:BO46)</f>
        <v>1532679.8499999999</v>
      </c>
      <c r="BP47">
        <f t="shared" si="3"/>
        <v>288253.95999999996</v>
      </c>
      <c r="BQ47">
        <f t="shared" si="3"/>
        <v>23614.73</v>
      </c>
      <c r="BR47">
        <f t="shared" si="3"/>
        <v>2973831.73</v>
      </c>
      <c r="BS47">
        <f t="shared" si="3"/>
        <v>891166.42</v>
      </c>
      <c r="BT47">
        <f t="shared" si="3"/>
        <v>32460.53</v>
      </c>
      <c r="BU47">
        <f t="shared" si="3"/>
        <v>7392834.1499999994</v>
      </c>
      <c r="BV47">
        <f t="shared" si="3"/>
        <v>554609.80000000005</v>
      </c>
      <c r="BW47">
        <f t="shared" si="3"/>
        <v>1128102.9300000002</v>
      </c>
      <c r="BX47">
        <f t="shared" si="3"/>
        <v>2861402.17</v>
      </c>
      <c r="BY47">
        <f t="shared" si="3"/>
        <v>386597.38</v>
      </c>
      <c r="BZ47">
        <f t="shared" si="3"/>
        <v>887720.38</v>
      </c>
      <c r="CA47">
        <f t="shared" si="3"/>
        <v>5103379.3099999996</v>
      </c>
      <c r="CB47">
        <f t="shared" si="3"/>
        <v>-176101.70999999996</v>
      </c>
      <c r="CC47">
        <f t="shared" si="3"/>
        <v>1147866.46</v>
      </c>
      <c r="CD47">
        <f t="shared" si="3"/>
        <v>3796341.51</v>
      </c>
      <c r="CE47">
        <f t="shared" si="3"/>
        <v>795356.07</v>
      </c>
      <c r="CF47">
        <f t="shared" si="3"/>
        <v>4950934.4800000004</v>
      </c>
      <c r="CG47">
        <f t="shared" si="3"/>
        <v>1398329.96</v>
      </c>
    </row>
    <row r="48" spans="1:85">
      <c r="A48" s="2" t="str">
        <f xml:space="preserve"> _xll.EPMOlapMemberO("[ACCOUNT].[PARENTH1].[303658]","","USED Deferred Terminal Sale Recognized -","","000")</f>
        <v>USED Deferred Terminal Sale Recognized -</v>
      </c>
    </row>
    <row r="49" spans="1:85">
      <c r="A49" s="2" t="str">
        <f xml:space="preserve"> _xll.EPMOlapMemberO("[ACCOUNT].[PARENTH1].[303659]","","USED Deferred Revenue - Terminals - GAM","","000")</f>
        <v>USED Deferred Revenue - Terminals - GAM</v>
      </c>
    </row>
    <row r="50" spans="1:85">
      <c r="A50" s="2" t="str">
        <f xml:space="preserve"> _xll.EPMOlapMemberO("[ACCOUNT].[PARENTH1].[303666]","","ETG Recognized Revenue","","000")</f>
        <v>ETG Recognized Revenue</v>
      </c>
    </row>
    <row r="51" spans="1:85">
      <c r="A51" s="2" t="str">
        <f xml:space="preserve"> _xll.EPMOlapMemberO("[ACCOUNT].[PARENTH1].[303819]","","Deferred Revenue - Terminals - GAM","","000")</f>
        <v>Deferred Revenue - Terminals - GAM</v>
      </c>
      <c r="K51">
        <v>-14065103</v>
      </c>
      <c r="L51">
        <v>-801630</v>
      </c>
      <c r="U51">
        <v>-1349500</v>
      </c>
      <c r="AC51">
        <v>-1201224.22</v>
      </c>
      <c r="AD51">
        <v>-1223267.2</v>
      </c>
      <c r="AE51">
        <v>1240420.67</v>
      </c>
      <c r="AF51">
        <v>-1173466.3700000001</v>
      </c>
      <c r="AG51">
        <v>1191520.22</v>
      </c>
      <c r="AH51">
        <v>1166016.9099999999</v>
      </c>
      <c r="AI51">
        <v>-6803676</v>
      </c>
      <c r="AJ51">
        <v>-7137948.6200000001</v>
      </c>
      <c r="AK51">
        <v>6803676</v>
      </c>
    </row>
    <row r="52" spans="1:85">
      <c r="A52" s="2" t="str">
        <f xml:space="preserve"> _xll.EPMOlapMemberO("[ACCOUNT].[PARENTH1].[303840]","","New Machines Discounts Recognized","","000")</f>
        <v>New Machines Discounts Recognized</v>
      </c>
      <c r="M52">
        <v>-6063026.0499999998</v>
      </c>
      <c r="V52">
        <v>-269900</v>
      </c>
      <c r="AG52">
        <v>-12000</v>
      </c>
      <c r="AH52">
        <v>12000</v>
      </c>
      <c r="AJ52">
        <v>-2727490.48</v>
      </c>
    </row>
    <row r="53" spans="1:85">
      <c r="A53" s="2" t="str">
        <f xml:space="preserve"> _xll.EPMOlapMemberO("[ACCOUNT].[PARENTH1].[303841]","","New Machines Discounts Deferred","","000")</f>
        <v>New Machines Discounts Deferred</v>
      </c>
      <c r="K53">
        <v>5740558.2999999998</v>
      </c>
      <c r="L53">
        <v>322467.75</v>
      </c>
      <c r="U53">
        <v>269900</v>
      </c>
      <c r="AC53">
        <v>459003.96</v>
      </c>
      <c r="AD53">
        <v>467411.04</v>
      </c>
      <c r="AE53">
        <v>-473965.61</v>
      </c>
      <c r="AF53">
        <v>448397.3</v>
      </c>
      <c r="AG53">
        <v>-455295.93</v>
      </c>
      <c r="AH53">
        <v>-445550.77</v>
      </c>
      <c r="AI53">
        <v>1587600</v>
      </c>
      <c r="AJ53">
        <v>2727490.48</v>
      </c>
      <c r="AK53">
        <v>-1587600</v>
      </c>
    </row>
    <row r="54" spans="1:85">
      <c r="A54" s="2" t="str">
        <f xml:space="preserve"> _xll.EPMOlapMemberO("[ACCOUNT].[PARENTH1].[303845]","","Deferred Terminal Sale Recognized - GAM","","000")</f>
        <v>Deferred Terminal Sale Recognized - GAM</v>
      </c>
      <c r="M54">
        <v>14866733</v>
      </c>
      <c r="V54">
        <v>1349500</v>
      </c>
      <c r="AJ54">
        <v>7137948.6200000001</v>
      </c>
    </row>
    <row r="55" spans="1:85">
      <c r="A55" s="2" t="str">
        <f xml:space="preserve"> _xll.EPMOlapMemberO("[ACCOUNT].[PARENTH1].[303846]","","ETG Deferred Revenue","","000")</f>
        <v>ETG Deferred Revenue</v>
      </c>
    </row>
    <row r="56" spans="1:85">
      <c r="A56" s="2" t="str">
        <f xml:space="preserve"> _xll.EPMOlapMemberO("[ACCOUNT].[PARENTH1].[303849]","","ETG Deferred Discount","","000")</f>
        <v>ETG Deferred Discount</v>
      </c>
    </row>
    <row r="57" spans="1:85">
      <c r="A57" s="2" t="str">
        <f xml:space="preserve"> _xll.EPMOlapMemberO("[ACCOUNT].[PARENTH1].[303860]","","ETG Recognized Discount","","000")</f>
        <v>ETG Recognized Discount</v>
      </c>
    </row>
    <row r="58" spans="1:85">
      <c r="A58" s="1" t="str">
        <f xml:space="preserve"> _xll.EPMOlapMemberO("[ACCOUNT].[PARENTH1].[RPTERMGDEF]","","Deferred Terminal Sales Gaming","","000")</f>
        <v>Deferred Terminal Sales Gaming</v>
      </c>
      <c r="B58">
        <f>SUM(B48:B57)</f>
        <v>0</v>
      </c>
      <c r="C58">
        <f t="shared" ref="C58:BN58" si="4">SUM(C48:C57)</f>
        <v>0</v>
      </c>
      <c r="D58">
        <f t="shared" si="4"/>
        <v>0</v>
      </c>
      <c r="E58">
        <f t="shared" si="4"/>
        <v>0</v>
      </c>
      <c r="F58">
        <f t="shared" si="4"/>
        <v>0</v>
      </c>
      <c r="G58">
        <f t="shared" si="4"/>
        <v>0</v>
      </c>
      <c r="H58">
        <f t="shared" si="4"/>
        <v>0</v>
      </c>
      <c r="I58">
        <f t="shared" si="4"/>
        <v>0</v>
      </c>
      <c r="J58">
        <f t="shared" si="4"/>
        <v>0</v>
      </c>
      <c r="K58">
        <f t="shared" si="4"/>
        <v>-8324544.7000000002</v>
      </c>
      <c r="L58">
        <f t="shared" si="4"/>
        <v>-479162.25</v>
      </c>
      <c r="M58">
        <f t="shared" si="4"/>
        <v>8803706.9499999993</v>
      </c>
      <c r="N58">
        <f t="shared" si="4"/>
        <v>0</v>
      </c>
      <c r="O58">
        <f t="shared" si="4"/>
        <v>0</v>
      </c>
      <c r="P58">
        <f t="shared" si="4"/>
        <v>0</v>
      </c>
      <c r="Q58">
        <f t="shared" si="4"/>
        <v>0</v>
      </c>
      <c r="R58">
        <f t="shared" si="4"/>
        <v>0</v>
      </c>
      <c r="S58">
        <f t="shared" si="4"/>
        <v>0</v>
      </c>
      <c r="T58">
        <f t="shared" si="4"/>
        <v>0</v>
      </c>
      <c r="U58">
        <f t="shared" si="4"/>
        <v>-1079600</v>
      </c>
      <c r="V58">
        <f t="shared" si="4"/>
        <v>1079600</v>
      </c>
      <c r="W58">
        <f t="shared" si="4"/>
        <v>0</v>
      </c>
      <c r="X58">
        <f t="shared" si="4"/>
        <v>0</v>
      </c>
      <c r="Y58">
        <f t="shared" si="4"/>
        <v>0</v>
      </c>
      <c r="Z58">
        <f t="shared" si="4"/>
        <v>0</v>
      </c>
      <c r="AA58">
        <f t="shared" si="4"/>
        <v>0</v>
      </c>
      <c r="AB58">
        <f t="shared" si="4"/>
        <v>0</v>
      </c>
      <c r="AC58">
        <f t="shared" si="4"/>
        <v>-742220.26</v>
      </c>
      <c r="AD58">
        <f t="shared" si="4"/>
        <v>-755856.15999999992</v>
      </c>
      <c r="AE58">
        <f t="shared" si="4"/>
        <v>766455.05999999994</v>
      </c>
      <c r="AF58">
        <f t="shared" si="4"/>
        <v>-725069.07000000007</v>
      </c>
      <c r="AG58">
        <f t="shared" si="4"/>
        <v>724224.29</v>
      </c>
      <c r="AH58">
        <f t="shared" si="4"/>
        <v>732466.1399999999</v>
      </c>
      <c r="AI58">
        <f t="shared" si="4"/>
        <v>-5216076</v>
      </c>
      <c r="AJ58">
        <f t="shared" si="4"/>
        <v>0</v>
      </c>
      <c r="AK58">
        <f t="shared" si="4"/>
        <v>5216076</v>
      </c>
      <c r="AL58">
        <f t="shared" si="4"/>
        <v>0</v>
      </c>
      <c r="AM58">
        <f t="shared" si="4"/>
        <v>0</v>
      </c>
      <c r="AN58">
        <f t="shared" si="4"/>
        <v>0</v>
      </c>
      <c r="AO58">
        <f t="shared" si="4"/>
        <v>0</v>
      </c>
      <c r="AP58">
        <f t="shared" si="4"/>
        <v>0</v>
      </c>
      <c r="AQ58">
        <f t="shared" si="4"/>
        <v>0</v>
      </c>
      <c r="AR58">
        <f t="shared" si="4"/>
        <v>0</v>
      </c>
      <c r="AS58">
        <f t="shared" si="4"/>
        <v>0</v>
      </c>
      <c r="AT58">
        <f t="shared" si="4"/>
        <v>0</v>
      </c>
      <c r="AU58">
        <f t="shared" si="4"/>
        <v>0</v>
      </c>
      <c r="AV58">
        <f t="shared" si="4"/>
        <v>0</v>
      </c>
      <c r="AW58">
        <f t="shared" si="4"/>
        <v>0</v>
      </c>
      <c r="AX58">
        <f t="shared" si="4"/>
        <v>0</v>
      </c>
      <c r="AY58">
        <f t="shared" si="4"/>
        <v>0</v>
      </c>
      <c r="AZ58">
        <f t="shared" si="4"/>
        <v>0</v>
      </c>
      <c r="BA58">
        <f t="shared" si="4"/>
        <v>0</v>
      </c>
      <c r="BB58">
        <f t="shared" si="4"/>
        <v>0</v>
      </c>
      <c r="BC58">
        <f t="shared" si="4"/>
        <v>0</v>
      </c>
      <c r="BD58">
        <f t="shared" si="4"/>
        <v>0</v>
      </c>
      <c r="BE58">
        <f t="shared" si="4"/>
        <v>0</v>
      </c>
      <c r="BF58">
        <f t="shared" si="4"/>
        <v>0</v>
      </c>
      <c r="BG58">
        <f t="shared" si="4"/>
        <v>0</v>
      </c>
      <c r="BH58">
        <f t="shared" si="4"/>
        <v>0</v>
      </c>
      <c r="BI58">
        <f t="shared" si="4"/>
        <v>0</v>
      </c>
      <c r="BJ58">
        <f t="shared" si="4"/>
        <v>0</v>
      </c>
      <c r="BK58">
        <f t="shared" si="4"/>
        <v>0</v>
      </c>
      <c r="BL58">
        <f t="shared" si="4"/>
        <v>0</v>
      </c>
      <c r="BM58">
        <f t="shared" si="4"/>
        <v>0</v>
      </c>
      <c r="BN58">
        <f t="shared" si="4"/>
        <v>0</v>
      </c>
      <c r="BO58">
        <f t="shared" ref="BO58:CG58" si="5">SUM(BO48:BO57)</f>
        <v>0</v>
      </c>
      <c r="BP58">
        <f t="shared" si="5"/>
        <v>0</v>
      </c>
      <c r="BQ58">
        <f t="shared" si="5"/>
        <v>0</v>
      </c>
      <c r="BR58">
        <f t="shared" si="5"/>
        <v>0</v>
      </c>
      <c r="BS58">
        <f t="shared" si="5"/>
        <v>0</v>
      </c>
      <c r="BT58">
        <f t="shared" si="5"/>
        <v>0</v>
      </c>
      <c r="BU58">
        <f t="shared" si="5"/>
        <v>0</v>
      </c>
      <c r="BV58">
        <f t="shared" si="5"/>
        <v>0</v>
      </c>
      <c r="BW58">
        <f t="shared" si="5"/>
        <v>0</v>
      </c>
      <c r="BX58">
        <f t="shared" si="5"/>
        <v>0</v>
      </c>
      <c r="BY58">
        <f t="shared" si="5"/>
        <v>0</v>
      </c>
      <c r="BZ58">
        <f t="shared" si="5"/>
        <v>0</v>
      </c>
      <c r="CA58">
        <f t="shared" si="5"/>
        <v>0</v>
      </c>
      <c r="CB58">
        <f t="shared" si="5"/>
        <v>0</v>
      </c>
      <c r="CC58">
        <f t="shared" si="5"/>
        <v>0</v>
      </c>
      <c r="CD58">
        <f t="shared" si="5"/>
        <v>0</v>
      </c>
      <c r="CE58">
        <f t="shared" si="5"/>
        <v>0</v>
      </c>
      <c r="CF58">
        <f t="shared" si="5"/>
        <v>0</v>
      </c>
      <c r="CG58">
        <f t="shared" si="5"/>
        <v>0</v>
      </c>
    </row>
    <row r="59" spans="1:85">
      <c r="A59" t="str">
        <f xml:space="preserve"> _xll.EPMOlapMemberO("[ACCOUNT].[PARENTH1].[RPTERMGAM]","","Terminal Sales Gaming","","000")</f>
        <v>Terminal Sales Gaming</v>
      </c>
      <c r="B59">
        <f>SUM(B34,B47,B58)</f>
        <v>6999063.709999999</v>
      </c>
      <c r="C59">
        <f t="shared" ref="C59:BN59" si="6">SUM(C34,C47,C58)</f>
        <v>7631018.21</v>
      </c>
      <c r="D59">
        <f t="shared" si="6"/>
        <v>48796785.160000004</v>
      </c>
      <c r="E59">
        <f t="shared" si="6"/>
        <v>9198340.0200000014</v>
      </c>
      <c r="F59">
        <f t="shared" si="6"/>
        <v>17831822.510000002</v>
      </c>
      <c r="G59">
        <f t="shared" si="6"/>
        <v>46093889.960000008</v>
      </c>
      <c r="H59">
        <f t="shared" si="6"/>
        <v>10252201.259999998</v>
      </c>
      <c r="I59">
        <f t="shared" si="6"/>
        <v>17295931.919999998</v>
      </c>
      <c r="J59">
        <f t="shared" si="6"/>
        <v>46292866.060000002</v>
      </c>
      <c r="K59">
        <f t="shared" si="6"/>
        <v>6227744.6900000004</v>
      </c>
      <c r="L59">
        <f t="shared" si="6"/>
        <v>22697393.259999998</v>
      </c>
      <c r="M59">
        <f t="shared" si="6"/>
        <v>81876156.900000021</v>
      </c>
      <c r="N59">
        <f t="shared" si="6"/>
        <v>6321980.75</v>
      </c>
      <c r="O59">
        <f t="shared" si="6"/>
        <v>8359157.6100000003</v>
      </c>
      <c r="P59">
        <f t="shared" si="6"/>
        <v>15297202.859999996</v>
      </c>
      <c r="Q59">
        <f t="shared" si="6"/>
        <v>1210826.2400000002</v>
      </c>
      <c r="R59">
        <f t="shared" si="6"/>
        <v>8081835.2400000012</v>
      </c>
      <c r="S59">
        <f t="shared" si="6"/>
        <v>30880559.610000003</v>
      </c>
      <c r="T59">
        <f t="shared" si="6"/>
        <v>4936563.1499999994</v>
      </c>
      <c r="U59">
        <f t="shared" si="6"/>
        <v>9487368.540000001</v>
      </c>
      <c r="V59">
        <f t="shared" si="6"/>
        <v>22782608.109999999</v>
      </c>
      <c r="W59">
        <f t="shared" si="6"/>
        <v>9031978.1600000001</v>
      </c>
      <c r="X59">
        <f t="shared" si="6"/>
        <v>7763040.0200000005</v>
      </c>
      <c r="Y59">
        <f t="shared" si="6"/>
        <v>30620069.060000002</v>
      </c>
      <c r="Z59">
        <f t="shared" si="6"/>
        <v>7963775.46</v>
      </c>
      <c r="AA59">
        <f t="shared" si="6"/>
        <v>11020519.829999998</v>
      </c>
      <c r="AB59">
        <f t="shared" si="6"/>
        <v>21620674.279999997</v>
      </c>
      <c r="AC59">
        <f t="shared" si="6"/>
        <v>10859677.900000002</v>
      </c>
      <c r="AD59">
        <f t="shared" si="6"/>
        <v>14667381.079999996</v>
      </c>
      <c r="AE59">
        <f t="shared" si="6"/>
        <v>32352431.66</v>
      </c>
      <c r="AF59">
        <f t="shared" si="6"/>
        <v>15527536.460000003</v>
      </c>
      <c r="AG59">
        <f t="shared" si="6"/>
        <v>14512480.550000001</v>
      </c>
      <c r="AH59">
        <f t="shared" si="6"/>
        <v>25945124.850000001</v>
      </c>
      <c r="AI59">
        <f t="shared" si="6"/>
        <v>8521872.6999999993</v>
      </c>
      <c r="AJ59">
        <f t="shared" si="6"/>
        <v>18079329.009999998</v>
      </c>
      <c r="AK59">
        <f t="shared" si="6"/>
        <v>52010309</v>
      </c>
      <c r="AL59">
        <f t="shared" si="6"/>
        <v>19813285.299999997</v>
      </c>
      <c r="AM59">
        <f t="shared" si="6"/>
        <v>18426075.780000001</v>
      </c>
      <c r="AN59">
        <f t="shared" si="6"/>
        <v>41306887.060000002</v>
      </c>
      <c r="AO59">
        <f t="shared" si="6"/>
        <v>12006401.639999999</v>
      </c>
      <c r="AP59">
        <f t="shared" si="6"/>
        <v>15335740.460000001</v>
      </c>
      <c r="AQ59">
        <f t="shared" si="6"/>
        <v>50008108.349999994</v>
      </c>
      <c r="AR59">
        <f t="shared" si="6"/>
        <v>11965314.919999998</v>
      </c>
      <c r="AS59">
        <f t="shared" si="6"/>
        <v>28218999.139999997</v>
      </c>
      <c r="AT59">
        <f t="shared" si="6"/>
        <v>62833621.139999993</v>
      </c>
      <c r="AU59">
        <f t="shared" si="6"/>
        <v>16445189.510000004</v>
      </c>
      <c r="AV59">
        <f t="shared" si="6"/>
        <v>36166035.530000009</v>
      </c>
      <c r="AW59">
        <f t="shared" si="6"/>
        <v>64203778.530000009</v>
      </c>
      <c r="AX59">
        <f t="shared" si="6"/>
        <v>19494876.859999999</v>
      </c>
      <c r="AY59">
        <f t="shared" si="6"/>
        <v>26293326.080000002</v>
      </c>
      <c r="AZ59">
        <f t="shared" si="6"/>
        <v>59978400.290000007</v>
      </c>
      <c r="BA59">
        <f t="shared" si="6"/>
        <v>21885408.039999999</v>
      </c>
      <c r="BB59">
        <f t="shared" si="6"/>
        <v>38274955.940000013</v>
      </c>
      <c r="BC59">
        <f t="shared" si="6"/>
        <v>46420421.670000002</v>
      </c>
      <c r="BD59">
        <f t="shared" si="6"/>
        <v>19705798.980000004</v>
      </c>
      <c r="BE59">
        <f t="shared" si="6"/>
        <v>37351403.380000003</v>
      </c>
      <c r="BF59">
        <f t="shared" si="6"/>
        <v>45286308.320000008</v>
      </c>
      <c r="BG59">
        <f t="shared" si="6"/>
        <v>24620669.93</v>
      </c>
      <c r="BH59">
        <f t="shared" si="6"/>
        <v>33496409.479999997</v>
      </c>
      <c r="BI59">
        <f t="shared" si="6"/>
        <v>52803762.710000008</v>
      </c>
      <c r="BJ59">
        <f t="shared" si="6"/>
        <v>11989955.919999998</v>
      </c>
      <c r="BK59">
        <f t="shared" si="6"/>
        <v>22248179.43</v>
      </c>
      <c r="BL59">
        <f t="shared" si="6"/>
        <v>52199993.679999992</v>
      </c>
      <c r="BM59">
        <f t="shared" si="6"/>
        <v>14690689.130000003</v>
      </c>
      <c r="BN59">
        <f t="shared" si="6"/>
        <v>18255469.809999999</v>
      </c>
      <c r="BO59">
        <f t="shared" ref="BO59:CG59" si="7">SUM(BO34,BO47,BO58)</f>
        <v>51892945.150000013</v>
      </c>
      <c r="BP59">
        <f t="shared" si="7"/>
        <v>14809231.82</v>
      </c>
      <c r="BQ59">
        <f t="shared" si="7"/>
        <v>27116975.890000004</v>
      </c>
      <c r="BR59">
        <f t="shared" si="7"/>
        <v>52593400.350000001</v>
      </c>
      <c r="BS59">
        <f t="shared" si="7"/>
        <v>18375958.25</v>
      </c>
      <c r="BT59">
        <f t="shared" si="7"/>
        <v>28205224.460000001</v>
      </c>
      <c r="BU59">
        <f t="shared" si="7"/>
        <v>87892300.680000007</v>
      </c>
      <c r="BV59">
        <f t="shared" si="7"/>
        <v>10466693.530000001</v>
      </c>
      <c r="BW59">
        <f t="shared" si="7"/>
        <v>20514227.109999999</v>
      </c>
      <c r="BX59">
        <f t="shared" si="7"/>
        <v>47979587.579999998</v>
      </c>
      <c r="BY59">
        <f t="shared" si="7"/>
        <v>8641759.7299999986</v>
      </c>
      <c r="BZ59">
        <f t="shared" si="7"/>
        <v>18725028.379999995</v>
      </c>
      <c r="CA59">
        <f t="shared" si="7"/>
        <v>43758065.170000009</v>
      </c>
      <c r="CB59">
        <f t="shared" si="7"/>
        <v>14177163.169999998</v>
      </c>
      <c r="CC59">
        <f t="shared" si="7"/>
        <v>33263199.550000008</v>
      </c>
      <c r="CD59">
        <f t="shared" si="7"/>
        <v>52165642.780000001</v>
      </c>
      <c r="CE59">
        <f t="shared" si="7"/>
        <v>24627026.040000003</v>
      </c>
      <c r="CF59">
        <f t="shared" si="7"/>
        <v>33228813.649999999</v>
      </c>
      <c r="CG59">
        <f t="shared" si="7"/>
        <v>87903832.219999999</v>
      </c>
    </row>
    <row r="66" spans="1:85">
      <c r="A66" s="3" t="s">
        <v>45</v>
      </c>
      <c r="B66" s="4">
        <f t="shared" ref="B66:G66" si="8">B11+B12+B13+B14+B15+B17+B18+B26+B28+B35+B45+B46+B48+B50+B51+B55+B54</f>
        <v>10048753.4</v>
      </c>
      <c r="C66" s="4">
        <f t="shared" si="8"/>
        <v>11328310.810000001</v>
      </c>
      <c r="D66" s="4">
        <f t="shared" si="8"/>
        <v>68344611.700000003</v>
      </c>
      <c r="E66" s="4">
        <f t="shared" si="8"/>
        <v>11827002.890000001</v>
      </c>
      <c r="F66" s="4">
        <f t="shared" si="8"/>
        <v>25211087.129999999</v>
      </c>
      <c r="G66" s="4">
        <f t="shared" si="8"/>
        <v>64404446.960000001</v>
      </c>
      <c r="H66" s="4">
        <f t="shared" ref="H66:J66" si="9">H11+H12+H13+H14+H15+H17+H18+H26+H28+H35+H45+H46+H48+H50+H51+H55+H54</f>
        <v>14117807.369999999</v>
      </c>
      <c r="I66" s="4">
        <f t="shared" si="9"/>
        <v>24305344.449999999</v>
      </c>
      <c r="J66" s="4">
        <f t="shared" si="9"/>
        <v>64195085.539999999</v>
      </c>
      <c r="K66" s="4">
        <f>K11+K12+K13+K14+K15+K17+K18+K26+K28+K35+K45+K46+K48+K50+K51+K55+K54</f>
        <v>8298532.9499999993</v>
      </c>
      <c r="L66" s="4">
        <f t="shared" ref="L66:U66" si="10">L11+L12+L13+L14+L15+L17+L18+L26+L28+L35+L45+L46+L48+L50+L51+L55+L54</f>
        <v>31276710.939999998</v>
      </c>
      <c r="M66" s="4">
        <f t="shared" si="10"/>
        <v>126693908.32000001</v>
      </c>
      <c r="N66" s="4">
        <f t="shared" si="10"/>
        <v>8596085.6100000013</v>
      </c>
      <c r="O66" s="4">
        <f t="shared" si="10"/>
        <v>11252087.460000001</v>
      </c>
      <c r="P66" s="4">
        <f t="shared" si="10"/>
        <v>22438481.349999998</v>
      </c>
      <c r="Q66" s="4">
        <f t="shared" si="10"/>
        <v>1367165</v>
      </c>
      <c r="R66" s="4">
        <f t="shared" si="10"/>
        <v>10407752.199999999</v>
      </c>
      <c r="S66" s="4">
        <f t="shared" si="10"/>
        <v>45430618.799999997</v>
      </c>
      <c r="T66" s="4">
        <f t="shared" si="10"/>
        <v>6508584.7999999998</v>
      </c>
      <c r="U66" s="4">
        <f t="shared" si="10"/>
        <v>13146440.880000001</v>
      </c>
      <c r="V66" s="4">
        <f>V11+V12+V13+V14+V15+V17+V18+V26+V28+V35+V45+V46+V48+V50+V51+V55+V54</f>
        <v>32252240.41</v>
      </c>
      <c r="W66" s="4">
        <f t="shared" ref="W66:Y66" si="11">W11+W12+W13+W14+W15+W17+W18+W26+W28+W35+W45+W46+W48+W50+W51+W55+W54</f>
        <v>11936088.68</v>
      </c>
      <c r="X66" s="4">
        <f t="shared" si="11"/>
        <v>10369035</v>
      </c>
      <c r="Y66" s="4">
        <f t="shared" si="11"/>
        <v>43185998.799999997</v>
      </c>
      <c r="Z66" s="4">
        <f t="shared" ref="Z66:AA66" si="12">Z11+Z12+Z13+Z14+Z15+Z17+Z18+Z26+Z28+Z35+Z45+Z46+Z48+Z50+Z51+Z55+Z54</f>
        <v>10801777.060000001</v>
      </c>
      <c r="AA66" s="4">
        <f t="shared" si="12"/>
        <v>14552203</v>
      </c>
      <c r="AB66" s="4">
        <f t="shared" ref="AB66:AC66" si="13">AB11+AB12+AB13+AB14+AB15+AB17+AB18+AB26+AB28+AB35+AB45+AB46+AB48+AB50+AB51+AB55+AB54</f>
        <v>28187530.649999999</v>
      </c>
      <c r="AC66" s="4">
        <f t="shared" si="13"/>
        <v>14923400.66</v>
      </c>
      <c r="AD66" s="4">
        <f t="shared" ref="AD66" si="14">AD11+AD12+AD13+AD14+AD15+AD17+AD18+AD26+AD28+AD35+AD45+AD46+AD48+AD50+AD51+AD55+AD54</f>
        <v>21342926.359999999</v>
      </c>
      <c r="AE66" s="4">
        <f t="shared" ref="AE66:AF66" si="15">AE11+AE12+AE13+AE14+AE15+AE17+AE18+AE26+AE28+AE35+AE45+AE46+AE48+AE50+AE51+AE55+AE54</f>
        <v>42803839.960000001</v>
      </c>
      <c r="AF66" s="4">
        <f t="shared" si="15"/>
        <v>20828703.490000002</v>
      </c>
      <c r="AG66" s="4">
        <f t="shared" ref="AG66:AH66" si="16">AG11+AG12+AG13+AG14+AG15+AG17+AG18+AG26+AG28+AG35+AG45+AG46+AG48+AG50+AG51+AG55+AG54</f>
        <v>19216483.140000001</v>
      </c>
      <c r="AH66" s="4">
        <f t="shared" si="16"/>
        <v>35952525.699999996</v>
      </c>
      <c r="AI66" s="4">
        <f t="shared" ref="AI66:AJ66" si="17">AI11+AI12+AI13+AI14+AI15+AI17+AI18+AI26+AI28+AI35+AI45+AI46+AI48+AI50+AI51+AI55+AI54</f>
        <v>11024401</v>
      </c>
      <c r="AJ66" s="4">
        <f t="shared" si="17"/>
        <v>23297452.739999998</v>
      </c>
      <c r="AK66" s="4">
        <f t="shared" ref="AK66:AL66" si="18">AK11+AK12+AK13+AK14+AK15+AK17+AK18+AK26+AK28+AK35+AK45+AK46+AK48+AK50+AK51+AK55+AK54</f>
        <v>71069428.700000003</v>
      </c>
      <c r="AL66" s="4">
        <f t="shared" si="18"/>
        <v>25711551.460000001</v>
      </c>
      <c r="AM66" s="4">
        <f t="shared" ref="AM66:AN66" si="19">AM11+AM12+AM13+AM14+AM15+AM17+AM18+AM26+AM28+AM35+AM45+AM46+AM48+AM50+AM51+AM55+AM54</f>
        <v>23526569.100000001</v>
      </c>
      <c r="AN66" s="4">
        <f t="shared" si="19"/>
        <v>56009431.979999997</v>
      </c>
      <c r="AO66" s="4">
        <f t="shared" ref="AO66:AP66" si="20">AO11+AO12+AO13+AO14+AO15+AO17+AO18+AO26+AO28+AO35+AO45+AO46+AO48+AO50+AO51+AO55+AO54</f>
        <v>15742284.310000001</v>
      </c>
      <c r="AP66" s="4">
        <f t="shared" si="20"/>
        <v>20111566.199999999</v>
      </c>
      <c r="AQ66" s="4">
        <f t="shared" ref="AQ66:AR66" si="21">AQ11+AQ12+AQ13+AQ14+AQ15+AQ17+AQ18+AQ26+AQ28+AQ35+AQ45+AQ46+AQ48+AQ50+AQ51+AQ55+AQ54</f>
        <v>66484678.690000005</v>
      </c>
      <c r="AR66" s="4">
        <f t="shared" si="21"/>
        <v>15229717.459999999</v>
      </c>
      <c r="AS66" s="4">
        <f t="shared" ref="AS66:AT66" si="22">AS11+AS12+AS13+AS14+AS15+AS17+AS18+AS26+AS28+AS35+AS45+AS46+AS48+AS50+AS51+AS55+AS54</f>
        <v>35254581.799999997</v>
      </c>
      <c r="AT66" s="4">
        <f t="shared" si="22"/>
        <v>81935413</v>
      </c>
      <c r="AU66" s="4">
        <f t="shared" ref="AU66:AV66" si="23">AU11+AU12+AU13+AU14+AU15+AU17+AU18+AU26+AU28+AU35+AU45+AU46+AU48+AU50+AU51+AU55+AU54</f>
        <v>20900449.93</v>
      </c>
      <c r="AV66" s="4">
        <f t="shared" si="23"/>
        <v>43845537.270000003</v>
      </c>
      <c r="AW66" s="4">
        <f t="shared" ref="AW66:AX66" si="24">AW11+AW12+AW13+AW14+AW15+AW17+AW18+AW26+AW28+AW35+AW45+AW46+AW48+AW50+AW51+AW55+AW54</f>
        <v>83947656.370000005</v>
      </c>
      <c r="AX66" s="4">
        <f t="shared" si="24"/>
        <v>23847072.780000001</v>
      </c>
      <c r="AY66" s="4">
        <f t="shared" ref="AY66:AZ66" si="25">AY11+AY12+AY13+AY14+AY15+AY17+AY18+AY26+AY28+AY35+AY45+AY46+AY48+AY50+AY51+AY55+AY54</f>
        <v>35326768.409999996</v>
      </c>
      <c r="AZ66" s="4">
        <f t="shared" si="25"/>
        <v>81128520.940000013</v>
      </c>
      <c r="BA66" s="4">
        <f t="shared" ref="BA66:BB66" si="26">BA11+BA12+BA13+BA14+BA15+BA17+BA18+BA26+BA28+BA35+BA45+BA46+BA48+BA50+BA51+BA55+BA54</f>
        <v>29904052.690000001</v>
      </c>
      <c r="BB66" s="4">
        <f t="shared" si="26"/>
        <v>50811050.770000003</v>
      </c>
      <c r="BC66" s="4">
        <f t="shared" ref="BC66:BD66" si="27">BC11+BC12+BC13+BC14+BC15+BC17+BC18+BC26+BC28+BC35+BC45+BC46+BC48+BC50+BC51+BC55+BC54</f>
        <v>60928226.899999999</v>
      </c>
      <c r="BD66" s="4">
        <f t="shared" si="27"/>
        <v>25758904.879999999</v>
      </c>
      <c r="BE66" s="4">
        <f t="shared" ref="BE66:BF66" si="28">BE11+BE12+BE13+BE14+BE15+BE17+BE18+BE26+BE28+BE35+BE45+BE46+BE48+BE50+BE51+BE55+BE54</f>
        <v>49592978.969999999</v>
      </c>
      <c r="BF66" s="4">
        <f t="shared" si="28"/>
        <v>59732475.120000005</v>
      </c>
      <c r="BG66" s="4">
        <f t="shared" ref="BG66:BH66" si="29">BG11+BG12+BG13+BG14+BG15+BG17+BG18+BG26+BG28+BG35+BG45+BG46+BG48+BG50+BG51+BG55+BG54</f>
        <v>30247370.629999999</v>
      </c>
      <c r="BH66" s="4">
        <f t="shared" si="29"/>
        <v>43248262.779999994</v>
      </c>
      <c r="BI66" s="4">
        <f t="shared" ref="BI66:BJ66" si="30">BI11+BI12+BI13+BI14+BI15+BI17+BI18+BI26+BI28+BI35+BI45+BI46+BI48+BI50+BI51+BI55+BI54</f>
        <v>68726650.030000001</v>
      </c>
      <c r="BJ66" s="4">
        <f t="shared" si="30"/>
        <v>16507839.529999999</v>
      </c>
      <c r="BK66" s="4">
        <f t="shared" ref="BK66:BL66" si="31">BK11+BK12+BK13+BK14+BK15+BK17+BK18+BK26+BK28+BK35+BK45+BK46+BK48+BK50+BK51+BK55+BK54</f>
        <v>28887225.809999999</v>
      </c>
      <c r="BL66" s="4">
        <f t="shared" si="31"/>
        <v>69296917.159999996</v>
      </c>
      <c r="BM66" s="4">
        <f t="shared" ref="BM66:BN66" si="32">BM11+BM12+BM13+BM14+BM15+BM17+BM18+BM26+BM28+BM35+BM45+BM46+BM48+BM50+BM51+BM55+BM54</f>
        <v>19630060.760000002</v>
      </c>
      <c r="BN66" s="4">
        <f t="shared" si="32"/>
        <v>25424096.18</v>
      </c>
      <c r="BO66" s="4">
        <f t="shared" ref="BO66:BP66" si="33">BO11+BO12+BO13+BO14+BO15+BO17+BO18+BO26+BO28+BO35+BO45+BO46+BO48+BO50+BO51+BO55+BO54</f>
        <v>72487666.5</v>
      </c>
      <c r="BP66" s="4">
        <f t="shared" si="33"/>
        <v>17828404.370000001</v>
      </c>
      <c r="BQ66" s="4">
        <f t="shared" ref="BQ66:BR66" si="34">BQ11+BQ12+BQ13+BQ14+BQ15+BQ17+BQ18+BQ26+BQ28+BQ35+BQ45+BQ46+BQ48+BQ50+BQ51+BQ55+BQ54</f>
        <v>33203365.469999999</v>
      </c>
      <c r="BR66" s="4">
        <f t="shared" si="34"/>
        <v>68146868.069999993</v>
      </c>
      <c r="BS66" s="4">
        <f t="shared" ref="BS66:BT66" si="35">BS11+BS12+BS13+BS14+BS15+BS17+BS18+BS26+BS28+BS35+BS45+BS46+BS48+BS50+BS51+BS55+BS54</f>
        <v>24321512.41</v>
      </c>
      <c r="BT66" s="4">
        <f t="shared" si="35"/>
        <v>35349291.630000003</v>
      </c>
      <c r="BU66" s="4">
        <f t="shared" ref="BU66:BV66" si="36">BU11+BU12+BU13+BU14+BU15+BU17+BU18+BU26+BU28+BU35+BU45+BU46+BU48+BU50+BU51+BU55+BU54</f>
        <v>121514611.42999999</v>
      </c>
      <c r="BV66" s="4">
        <f t="shared" si="36"/>
        <v>13883295.869999999</v>
      </c>
      <c r="BW66" s="4">
        <f t="shared" ref="BW66:BX66" si="37">BW11+BW12+BW13+BW14+BW15+BW17+BW18+BW26+BW28+BW35+BW45+BW46+BW48+BW50+BW51+BW55+BW54</f>
        <v>28680188.699999999</v>
      </c>
      <c r="BX66" s="4">
        <f t="shared" si="37"/>
        <v>65054350.189999998</v>
      </c>
      <c r="BY66" s="4">
        <f t="shared" ref="BY66:BZ66" si="38">BY11+BY12+BY13+BY14+BY15+BY17+BY18+BY26+BY28+BY35+BY45+BY46+BY48+BY50+BY51+BY55+BY54</f>
        <v>12367334.73</v>
      </c>
      <c r="BZ66" s="4">
        <f t="shared" si="38"/>
        <v>25066078.210000001</v>
      </c>
      <c r="CA66" s="4">
        <f t="shared" ref="CA66:CB66" si="39">CA11+CA12+CA13+CA14+CA15+CA17+CA18+CA26+CA28+CA35+CA45+CA46+CA48+CA50+CA51+CA55+CA54</f>
        <v>61550980.32</v>
      </c>
      <c r="CB66" s="4">
        <f t="shared" si="39"/>
        <v>18987055.039999999</v>
      </c>
      <c r="CC66" s="4">
        <f t="shared" ref="CC66:CD66" si="40">CC11+CC12+CC13+CC14+CC15+CC17+CC18+CC26+CC28+CC35+CC45+CC46+CC48+CC50+CC51+CC55+CC54</f>
        <v>42060688.770000003</v>
      </c>
      <c r="CD66" s="4">
        <f t="shared" si="40"/>
        <v>69495845.959999993</v>
      </c>
      <c r="CE66" s="4">
        <f t="shared" ref="CE66:CF66" si="41">CE11+CE12+CE13+CE14+CE15+CE17+CE18+CE26+CE28+CE35+CE45+CE46+CE48+CE50+CE51+CE55+CE54</f>
        <v>32301092.830000002</v>
      </c>
      <c r="CF66" s="4">
        <f t="shared" si="41"/>
        <v>42396059.239999995</v>
      </c>
      <c r="CG66" s="4">
        <f t="shared" ref="CG66" si="42">CG11+CG12+CG13+CG14+CG15+CG17+CG18+CG26+CG28+CG35+CG45+CG46+CG48+CG50+CG51+CG55+CG54</f>
        <v>110164029.27000001</v>
      </c>
    </row>
    <row r="67" spans="1:85">
      <c r="A67" s="3" t="s">
        <v>46</v>
      </c>
      <c r="B67" s="4">
        <f t="shared" ref="B67:G67" si="43">B16</f>
        <v>90141.02</v>
      </c>
      <c r="C67" s="4">
        <f t="shared" si="43"/>
        <v>102204.95</v>
      </c>
      <c r="D67" s="4">
        <f t="shared" si="43"/>
        <v>343222.46</v>
      </c>
      <c r="E67" s="4">
        <f t="shared" si="43"/>
        <v>142806.15</v>
      </c>
      <c r="F67" s="4">
        <f t="shared" si="43"/>
        <v>242843.09</v>
      </c>
      <c r="G67" s="4">
        <f t="shared" si="43"/>
        <v>336335.21</v>
      </c>
      <c r="H67" s="4">
        <f>H16</f>
        <v>119742.7</v>
      </c>
      <c r="I67" s="4">
        <f t="shared" ref="I67:U67" si="44">I16</f>
        <v>147434.92000000001</v>
      </c>
      <c r="J67" s="4">
        <f t="shared" si="44"/>
        <v>416875.35</v>
      </c>
      <c r="K67" s="4">
        <f>K16</f>
        <v>111991.62</v>
      </c>
      <c r="L67" s="4">
        <f t="shared" si="44"/>
        <v>166075.01999999999</v>
      </c>
      <c r="M67" s="4">
        <f t="shared" si="44"/>
        <v>593097.67000000004</v>
      </c>
      <c r="N67" s="4">
        <f t="shared" si="44"/>
        <v>96683</v>
      </c>
      <c r="O67" s="4">
        <f t="shared" si="44"/>
        <v>86916.43</v>
      </c>
      <c r="P67" s="4">
        <f t="shared" si="44"/>
        <v>105928.65</v>
      </c>
      <c r="Q67" s="4">
        <f t="shared" si="44"/>
        <v>1515.97</v>
      </c>
      <c r="R67" s="4">
        <f t="shared" si="44"/>
        <v>79979.55</v>
      </c>
      <c r="S67" s="4">
        <f t="shared" si="44"/>
        <v>241758.93</v>
      </c>
      <c r="T67" s="4">
        <f t="shared" si="44"/>
        <v>48244.85</v>
      </c>
      <c r="U67" s="4">
        <f t="shared" si="44"/>
        <v>88962.13</v>
      </c>
      <c r="V67" s="4">
        <f t="shared" ref="V67:Y67" si="45">V16</f>
        <v>194458.63</v>
      </c>
      <c r="W67" s="4">
        <f t="shared" si="45"/>
        <v>143722.29999999999</v>
      </c>
      <c r="X67" s="4">
        <f t="shared" si="45"/>
        <v>67692</v>
      </c>
      <c r="Y67" s="4">
        <f t="shared" si="45"/>
        <v>261654.44</v>
      </c>
      <c r="Z67" s="4">
        <f t="shared" ref="Z67:AA67" si="46">Z16</f>
        <v>57453.07</v>
      </c>
      <c r="AA67" s="4">
        <f t="shared" si="46"/>
        <v>81634.69</v>
      </c>
      <c r="AB67" s="4">
        <f t="shared" ref="AB67:AC67" si="47">AB16</f>
        <v>224894.82</v>
      </c>
      <c r="AC67" s="4">
        <f t="shared" si="47"/>
        <v>83792.509999999995</v>
      </c>
      <c r="AD67" s="4">
        <f t="shared" ref="AD67:AE67" si="48">AD16</f>
        <v>147517.06</v>
      </c>
      <c r="AE67" s="4">
        <f t="shared" si="48"/>
        <v>386416.67</v>
      </c>
      <c r="AF67" s="4">
        <f t="shared" ref="AF67:AG67" si="49">AF16</f>
        <v>248944.84</v>
      </c>
      <c r="AG67" s="4">
        <f t="shared" si="49"/>
        <v>140527.65</v>
      </c>
      <c r="AH67" s="4">
        <f t="shared" ref="AH67:AI67" si="50">AH16</f>
        <v>326852.46000000002</v>
      </c>
      <c r="AI67" s="4">
        <f t="shared" si="50"/>
        <v>94193.88</v>
      </c>
      <c r="AJ67" s="4">
        <f t="shared" ref="AJ67:AK67" si="51">AJ16</f>
        <v>540553.94999999995</v>
      </c>
      <c r="AK67" s="4">
        <f t="shared" si="51"/>
        <v>-20510.900000000001</v>
      </c>
      <c r="AL67" s="4">
        <f t="shared" ref="AL67:AM67" si="52">AL16</f>
        <v>213640.74</v>
      </c>
      <c r="AM67" s="4">
        <f t="shared" si="52"/>
        <v>144439.51999999999</v>
      </c>
      <c r="AN67" s="4">
        <f t="shared" ref="AN67:AO67" si="53">AN16</f>
        <v>354238.43</v>
      </c>
      <c r="AO67" s="4">
        <f t="shared" si="53"/>
        <v>152154.04</v>
      </c>
      <c r="AP67" s="4">
        <f t="shared" ref="AP67:AQ67" si="54">AP16</f>
        <v>127710.75</v>
      </c>
      <c r="AQ67" s="4">
        <f t="shared" si="54"/>
        <v>537601.57999999996</v>
      </c>
      <c r="AR67" s="4">
        <f t="shared" ref="AR67:AS67" si="55">AR16</f>
        <v>122153.12</v>
      </c>
      <c r="AS67" s="4">
        <f t="shared" si="55"/>
        <v>219817.7</v>
      </c>
      <c r="AT67" s="4">
        <f t="shared" ref="AT67:AU67" si="56">AT16</f>
        <v>557755.88</v>
      </c>
      <c r="AU67" s="4">
        <f t="shared" si="56"/>
        <v>120696.05</v>
      </c>
      <c r="AV67" s="4">
        <f t="shared" ref="AV67:AW67" si="57">AV16</f>
        <v>277588.49</v>
      </c>
      <c r="AW67" s="4">
        <f t="shared" si="57"/>
        <v>508128.36</v>
      </c>
      <c r="AX67" s="4">
        <f t="shared" ref="AX67:AY67" si="58">AX16</f>
        <v>141081.49</v>
      </c>
      <c r="AY67" s="4">
        <f t="shared" si="58"/>
        <v>237827.63</v>
      </c>
      <c r="AZ67" s="4">
        <f t="shared" ref="AZ67:BA67" si="59">AZ16</f>
        <v>620750.5</v>
      </c>
      <c r="BA67" s="4">
        <f t="shared" si="59"/>
        <v>218489.35</v>
      </c>
      <c r="BB67" s="4">
        <f t="shared" ref="BB67:BC67" si="60">BB16</f>
        <v>339003.61</v>
      </c>
      <c r="BC67" s="4">
        <f t="shared" si="60"/>
        <v>510704.5</v>
      </c>
      <c r="BD67" s="4">
        <f t="shared" ref="BD67:BE67" si="61">BD16</f>
        <v>190544.05</v>
      </c>
      <c r="BE67" s="4">
        <f t="shared" si="61"/>
        <v>236114.33</v>
      </c>
      <c r="BF67" s="4">
        <f t="shared" ref="BF67:BG67" si="62">BF16</f>
        <v>431951.1</v>
      </c>
      <c r="BG67" s="4">
        <f t="shared" si="62"/>
        <v>205916.62</v>
      </c>
      <c r="BH67" s="4">
        <f t="shared" ref="BH67:BI67" si="63">BH16</f>
        <v>303125.52</v>
      </c>
      <c r="BI67" s="4">
        <f t="shared" si="63"/>
        <v>548794.17000000004</v>
      </c>
      <c r="BJ67" s="4">
        <f t="shared" ref="BJ67:BK67" si="64">BJ16</f>
        <v>134792.75</v>
      </c>
      <c r="BK67" s="4">
        <f t="shared" si="64"/>
        <v>244257.24</v>
      </c>
      <c r="BL67" s="4">
        <f t="shared" ref="BL67:BM67" si="65">BL16</f>
        <v>402810.71</v>
      </c>
      <c r="BM67" s="4">
        <f t="shared" si="65"/>
        <v>155122.32999999999</v>
      </c>
      <c r="BN67" s="4">
        <f t="shared" ref="BN67:BO67" si="66">BN16</f>
        <v>292194.46000000002</v>
      </c>
      <c r="BO67" s="4">
        <f t="shared" si="66"/>
        <v>406448.93</v>
      </c>
      <c r="BP67" s="4">
        <f t="shared" ref="BP67:BQ67" si="67">BP16</f>
        <v>108826.66</v>
      </c>
      <c r="BQ67" s="4">
        <f t="shared" si="67"/>
        <v>207600.76</v>
      </c>
      <c r="BR67" s="4">
        <f t="shared" ref="BR67:BS67" si="68">BR16</f>
        <v>446273.95</v>
      </c>
      <c r="BS67" s="4">
        <f t="shared" si="68"/>
        <v>114215.45</v>
      </c>
      <c r="BT67" s="4">
        <f t="shared" ref="BT67:BV67" si="69">BT16</f>
        <v>209554.5</v>
      </c>
      <c r="BU67" s="4">
        <f t="shared" si="69"/>
        <v>822812.07</v>
      </c>
      <c r="BV67" s="4">
        <f t="shared" si="69"/>
        <v>118292.89</v>
      </c>
      <c r="BW67" s="4">
        <f t="shared" ref="BW67:BX67" si="70">BW16</f>
        <v>153071.73000000001</v>
      </c>
      <c r="BX67" s="4">
        <f t="shared" si="70"/>
        <v>407001.54</v>
      </c>
      <c r="BY67" s="4">
        <f t="shared" ref="BY67:BZ67" si="71">BY16</f>
        <v>162214.16</v>
      </c>
      <c r="BZ67" s="4">
        <f t="shared" si="71"/>
        <v>226775.27</v>
      </c>
      <c r="CA67" s="4">
        <f t="shared" ref="CA67:CB67" si="72">CA16</f>
        <v>455251.52</v>
      </c>
      <c r="CB67" s="4">
        <f t="shared" si="72"/>
        <v>199702.91</v>
      </c>
      <c r="CC67" s="4">
        <f t="shared" ref="CC67:CD67" si="73">CC16</f>
        <v>213225.92</v>
      </c>
      <c r="CD67" s="4">
        <f t="shared" si="73"/>
        <v>470095.82</v>
      </c>
      <c r="CE67" s="4">
        <f t="shared" ref="CE67:CF67" si="74">CE16</f>
        <v>277903.45</v>
      </c>
      <c r="CF67" s="4">
        <f t="shared" si="74"/>
        <v>184116.81</v>
      </c>
      <c r="CG67" s="4">
        <f t="shared" ref="CG67" si="75">CG16</f>
        <v>683364.84</v>
      </c>
    </row>
    <row r="68" spans="1:85">
      <c r="A68" s="3" t="s">
        <v>47</v>
      </c>
      <c r="B68" s="4">
        <f t="shared" ref="B68:Y68" si="76">B19+B21+B23+B24+B25+B27+B29+B36+B40+B41+B53+B52+B42+B22+B30+B33+B39+B43+B56+B57+B20</f>
        <v>-3173399.1000000006</v>
      </c>
      <c r="C68" s="4">
        <f t="shared" si="76"/>
        <v>-3863831.4099999997</v>
      </c>
      <c r="D68" s="4">
        <f t="shared" si="76"/>
        <v>-19891049.940000001</v>
      </c>
      <c r="E68" s="4">
        <f t="shared" si="76"/>
        <v>-2789201.88</v>
      </c>
      <c r="F68" s="4">
        <f t="shared" si="76"/>
        <v>-7664037.0800000001</v>
      </c>
      <c r="G68" s="4">
        <f t="shared" si="76"/>
        <v>-18671829.649999999</v>
      </c>
      <c r="H68" s="4">
        <f t="shared" si="76"/>
        <v>-3985348.8100000005</v>
      </c>
      <c r="I68" s="4">
        <f t="shared" si="76"/>
        <v>-7156847.4500000002</v>
      </c>
      <c r="J68" s="4">
        <f t="shared" si="76"/>
        <v>-18319094.829999998</v>
      </c>
      <c r="K68" s="4">
        <f t="shared" si="76"/>
        <v>-2182779.88</v>
      </c>
      <c r="L68" s="4">
        <f t="shared" si="76"/>
        <v>-8783838.7799999993</v>
      </c>
      <c r="M68" s="4">
        <f t="shared" si="76"/>
        <v>-45364891.629999995</v>
      </c>
      <c r="N68" s="4">
        <f t="shared" si="76"/>
        <v>-2459665.4899999993</v>
      </c>
      <c r="O68" s="4">
        <f t="shared" si="76"/>
        <v>-2979846.2800000003</v>
      </c>
      <c r="P68" s="4">
        <f t="shared" si="76"/>
        <v>-7247207.9500000002</v>
      </c>
      <c r="Q68" s="4">
        <f t="shared" si="76"/>
        <v>-164808.72</v>
      </c>
      <c r="R68" s="4">
        <f t="shared" si="76"/>
        <v>-2405896.5099999998</v>
      </c>
      <c r="S68" s="4">
        <f t="shared" si="76"/>
        <v>-14791818.4</v>
      </c>
      <c r="T68" s="4">
        <f t="shared" si="76"/>
        <v>-1620266.62</v>
      </c>
      <c r="U68" s="4">
        <f t="shared" si="76"/>
        <v>-3748034.4699999997</v>
      </c>
      <c r="V68" s="4">
        <f t="shared" si="76"/>
        <v>-9684952.2299999986</v>
      </c>
      <c r="W68" s="4">
        <f t="shared" si="76"/>
        <v>-3047832.82</v>
      </c>
      <c r="X68" s="4">
        <f t="shared" si="76"/>
        <v>-2673686.98</v>
      </c>
      <c r="Y68" s="4">
        <f t="shared" si="76"/>
        <v>-12827584.34</v>
      </c>
      <c r="Z68" s="4">
        <f>Z19+Z21+Z23+Z24+Z25+Z27+Z29+Z36+Z40+Z41+Z53+Z52+Z42+Z22+Z30+Z33+Z39+Z43+Z56+Z57+Z20</f>
        <v>-2895454.67</v>
      </c>
      <c r="AA68" s="4">
        <f t="shared" ref="AA68:AC68" si="77">AA19+AA21+AA23+AA24+AA25+AA27+AA29+AA36+AA40+AA41+AA53+AA52+AA42+AA22+AA30+AA33+AA39+AA43+AA56+AA57+AA20</f>
        <v>-3613317.8600000003</v>
      </c>
      <c r="AB68" s="4">
        <f t="shared" si="77"/>
        <v>-6791751.1899999995</v>
      </c>
      <c r="AC68" s="4">
        <f t="shared" si="77"/>
        <v>-4147515.2699999996</v>
      </c>
      <c r="AD68" s="4">
        <f t="shared" ref="AD68:AE68" si="78">AD19+AD21+AD23+AD24+AD25+AD27+AD29+AD36+AD40+AD41+AD53+AD52+AD42+AD22+AD30+AD33+AD39+AD43+AD56+AD57+AD20</f>
        <v>-6823062.3399999999</v>
      </c>
      <c r="AE68" s="4">
        <f t="shared" si="78"/>
        <v>-10837824.969999999</v>
      </c>
      <c r="AF68" s="4">
        <f t="shared" ref="AF68:AG68" si="79">AF19+AF21+AF23+AF24+AF25+AF27+AF29+AF36+AF40+AF41+AF53+AF52+AF42+AF22+AF30+AF33+AF39+AF43+AF56+AF57+AF20</f>
        <v>-5550111.8700000001</v>
      </c>
      <c r="AG68" s="4">
        <f t="shared" si="79"/>
        <v>-4844530.2399999993</v>
      </c>
      <c r="AH68" s="4">
        <f t="shared" ref="AH68:AL68" si="80">AH19+AH21+AH23+AH24+AH25+AH27+AH29+AH36+AH40+AH41+AH53+AH52+AH42+AH22+AH30+AH33+AH39+AH43+AH56+AH57+AH20+AH31</f>
        <v>-10334253.309999999</v>
      </c>
      <c r="AI68" s="4">
        <f t="shared" si="80"/>
        <v>-2596722.1800000002</v>
      </c>
      <c r="AJ68" s="4">
        <f t="shared" si="80"/>
        <v>-5758677.6800000006</v>
      </c>
      <c r="AK68" s="4">
        <f t="shared" si="80"/>
        <v>-19038608.800000001</v>
      </c>
      <c r="AL68" s="4">
        <f t="shared" si="80"/>
        <v>-6111906.8999999994</v>
      </c>
      <c r="AM68" s="4">
        <f t="shared" ref="AM68:AR68" si="81">AM19+AM21+AM23+AM24+AM25+AM27+AM29+AM36+AM37+AM40+AM41+AM53+AM52+AM42+AM22+AM30+AM33+AM39+AM43+AM56+AM57+AM20+AM31</f>
        <v>-5244932.8400000008</v>
      </c>
      <c r="AN68" s="4">
        <f t="shared" si="81"/>
        <v>-15056783.350000001</v>
      </c>
      <c r="AO68" s="4">
        <f t="shared" si="81"/>
        <v>-3888036.71</v>
      </c>
      <c r="AP68" s="4">
        <f t="shared" si="81"/>
        <v>-4903536.49</v>
      </c>
      <c r="AQ68" s="4">
        <f t="shared" si="81"/>
        <v>-17014171.919999998</v>
      </c>
      <c r="AR68" s="4">
        <f t="shared" si="81"/>
        <v>-3386555.66</v>
      </c>
      <c r="AS68" s="4">
        <f t="shared" ref="AS68:AT68" si="82">AS19+AS21+AS23+AS24+AS25+AS27+AS29+AS36+AS37+AS40+AS41+AS53+AS52+AS42+AS22+AS30+AS33+AS39+AS43+AS56+AS57+AS20+AS31</f>
        <v>-7255400.3600000003</v>
      </c>
      <c r="AT68" s="4">
        <f t="shared" si="82"/>
        <v>-19659547.739999998</v>
      </c>
      <c r="AU68" s="4">
        <f t="shared" ref="AU68:AV68" si="83">AU19+AU21+AU23+AU24+AU25+AU27+AU29+AU36+AU37+AU40+AU41+AU53+AU52+AU42+AU22+AU30+AU33+AU39+AU43+AU56+AU57+AU20+AU31</f>
        <v>-4575956.47</v>
      </c>
      <c r="AV68" s="4">
        <f t="shared" si="83"/>
        <v>-7957090.2300000004</v>
      </c>
      <c r="AW68" s="4">
        <f t="shared" ref="AW68:AX68" si="84">AW19+AW21+AW23+AW24+AW25+AW27+AW29+AW36+AW37+AW40+AW41+AW53+AW52+AW42+AW22+AW30+AW33+AW39+AW43+AW56+AW57+AW20+AW31</f>
        <v>-20252006.200000003</v>
      </c>
      <c r="AX68" s="4">
        <f t="shared" si="84"/>
        <v>-4493277.41</v>
      </c>
      <c r="AY68" s="4">
        <f t="shared" ref="AY68:AZ68" si="85">AY19+AY21+AY23+AY24+AY25+AY27+AY29+AY36+AY37+AY40+AY41+AY53+AY52+AY42+AY22+AY30+AY33+AY39+AY43+AY56+AY57+AY20+AY31</f>
        <v>-9271269.9599999972</v>
      </c>
      <c r="AZ68" s="4">
        <f t="shared" si="85"/>
        <v>-21770871.150000002</v>
      </c>
      <c r="BA68" s="4">
        <f t="shared" ref="BA68:BB68" si="86">BA19+BA21+BA23+BA24+BA25+BA27+BA29+BA36+BA37+BA40+BA41+BA53+BA52+BA42+BA22+BA30+BA33+BA39+BA43+BA56+BA57+BA20+BA31</f>
        <v>-8237133.9999999991</v>
      </c>
      <c r="BB68" s="4">
        <f t="shared" si="86"/>
        <v>-12875098.440000001</v>
      </c>
      <c r="BC68" s="4">
        <f t="shared" ref="BC68:BD68" si="87">BC19+BC21+BC23+BC24+BC25+BC27+BC29+BC36+BC37+BC40+BC41+BC53+BC52+BC42+BC22+BC30+BC33+BC39+BC43+BC56+BC57+BC20+BC31</f>
        <v>-15018509.73</v>
      </c>
      <c r="BD68" s="4">
        <f t="shared" si="87"/>
        <v>-6243649.9499999993</v>
      </c>
      <c r="BE68" s="4">
        <f t="shared" ref="BE68" si="88">BE19+BE21+BE23+BE24+BE25+BE27+BE29+BE36+BE37+BE40+BE41+BE53+BE52+BE42+BE22+BE30+BE33+BE39+BE43+BE56+BE57+BE20+BE31</f>
        <v>-12477689.920000002</v>
      </c>
      <c r="BF68" s="4">
        <f t="shared" ref="BF68:BK68" si="89">BF19+BF21+BF23+BF24+BF25+BF27+BF29+BF36+BF37+BF40+BF41+BF53+BF52+BF42+BF22+BF30+BF33+BF39+BF43+BF56+BF57+BF20+BF31+BF32</f>
        <v>-14878117.900000002</v>
      </c>
      <c r="BG68" s="4">
        <f t="shared" si="89"/>
        <v>-6394099.3600000003</v>
      </c>
      <c r="BH68" s="4">
        <f t="shared" si="89"/>
        <v>-10112081.59</v>
      </c>
      <c r="BI68" s="4">
        <f t="shared" si="89"/>
        <v>-16321664.83</v>
      </c>
      <c r="BJ68" s="4">
        <f t="shared" si="89"/>
        <v>-4652676.3599999994</v>
      </c>
      <c r="BK68" s="4">
        <f t="shared" si="89"/>
        <v>-6883303.6200000001</v>
      </c>
      <c r="BL68" s="4">
        <f t="shared" ref="BL68:BM68" si="90">BL19+BL21+BL23+BL24+BL25+BL27+BL29+BL36+BL37+BL40+BL41+BL53+BL52+BL42+BL22+BL30+BL33+BL39+BL43+BL56+BL57+BL20+BL31+BL32</f>
        <v>-17550994.010000002</v>
      </c>
      <c r="BM68" s="4">
        <f t="shared" si="90"/>
        <v>-5094493.959999999</v>
      </c>
      <c r="BN68" s="4">
        <f t="shared" ref="BN68:BO68" si="91">BN19+BN21+BN23+BN24+BN25+BN27+BN29+BN36+BN37+BN40+BN41+BN53+BN52+BN42+BN22+BN30+BN33+BN39+BN43+BN56+BN57+BN20+BN31+BN32</f>
        <v>-7460820.8300000001</v>
      </c>
      <c r="BO68" s="4">
        <f t="shared" si="91"/>
        <v>-21001170.280000001</v>
      </c>
      <c r="BP68" s="4">
        <f t="shared" ref="BP68:BQ68" si="92">BP19+BP21+BP23+BP24+BP25+BP27+BP29+BP36+BP37+BP40+BP41+BP53+BP52+BP42+BP22+BP30+BP33+BP39+BP43+BP56+BP57+BP20+BP31+BP32</f>
        <v>-3127999.21</v>
      </c>
      <c r="BQ68" s="4">
        <f t="shared" si="92"/>
        <v>-6293990.3399999989</v>
      </c>
      <c r="BR68" s="4">
        <f t="shared" ref="BR68:BS68" si="93">BR19+BR21+BR23+BR24+BR25+BR27+BR29+BR36+BR37+BR40+BR41+BR53+BR52+BR42+BR22+BR30+BR33+BR39+BR43+BR56+BR57+BR20+BR31+BR32</f>
        <v>-15999741.67</v>
      </c>
      <c r="BS68" s="4">
        <f t="shared" si="93"/>
        <v>-6059769.6099999994</v>
      </c>
      <c r="BT68" s="4">
        <f t="shared" ref="BT68:BV68" si="94">BT19+BT21+BT23+BT24+BT25+BT27+BT29+BT36+BT37+BT40+BT41+BT53+BT52+BT42+BT22+BT30+BT33+BT39+BT43+BT56+BT57+BT20+BT31+BT32</f>
        <v>-7728167.4199999999</v>
      </c>
      <c r="BU68" s="4">
        <f t="shared" si="94"/>
        <v>-34602766.640000008</v>
      </c>
      <c r="BV68" s="4">
        <f t="shared" si="94"/>
        <v>-3534895.2300000004</v>
      </c>
      <c r="BW68" s="4">
        <f t="shared" ref="BW68:BX68" si="95">BW19+BW21+BW23+BW24+BW25+BW27+BW29+BW36+BW37+BW40+BW41+BW53+BW52+BW42+BW22+BW30+BW33+BW39+BW43+BW56+BW57+BW20+BW31+BW32</f>
        <v>-8319033.3200000012</v>
      </c>
      <c r="BX68" s="4">
        <f t="shared" si="95"/>
        <v>-17481764.149999999</v>
      </c>
      <c r="BY68" s="4">
        <f t="shared" ref="BY68:BZ68" si="96">BY19+BY21+BY23+BY24+BY25+BY27+BY29+BY36+BY37+BY40+BY41+BY53+BY52+BY42+BY22+BY30+BY33+BY39+BY43+BY56+BY57+BY20+BY31+BY32</f>
        <v>-3887789.1600000006</v>
      </c>
      <c r="BZ68" s="4">
        <f t="shared" si="96"/>
        <v>-6567825.0999999996</v>
      </c>
      <c r="CA68" s="4">
        <f t="shared" ref="CA68:CB68" si="97">CA19+CA21+CA23+CA24+CA25+CA27+CA29+CA36+CA37+CA40+CA41+CA53+CA52+CA42+CA22+CA30+CA33+CA39+CA43+CA56+CA57+CA20+CA31+CA32</f>
        <v>-18248166.669999998</v>
      </c>
      <c r="CB68" s="4">
        <f t="shared" si="97"/>
        <v>-5009594.7799999993</v>
      </c>
      <c r="CC68" s="4">
        <f t="shared" ref="CC68:CD68" si="98">CC19+CC21+CC23+CC24+CC25+CC27+CC29+CC36+CC37+CC40+CC41+CC53+CC52+CC42+CC22+CC30+CC33+CC39+CC43+CC56+CC57+CC20+CC31+CC32</f>
        <v>-9010715.1399999987</v>
      </c>
      <c r="CD68" s="4">
        <f t="shared" si="98"/>
        <v>-17800299</v>
      </c>
      <c r="CE68" s="4">
        <f t="shared" ref="CE68:CF68" si="99">CE19+CE21+CE23+CE24+CE25+CE27+CE29+CE36+CE37+CE40+CE41+CE53+CE52+CE42+CE22+CE30+CE33+CE39+CE43+CE56+CE57+CE20+CE31+CE32</f>
        <v>-7951970.2400000002</v>
      </c>
      <c r="CF68" s="4">
        <f t="shared" si="99"/>
        <v>-9351362.4000000004</v>
      </c>
      <c r="CG68" s="4">
        <f t="shared" ref="CG68" si="100">CG19+CG21+CG23+CG24+CG25+CG27+CG29+CG36+CG37+CG40+CG41+CG53+CG52+CG42+CG22+CG30+CG33+CG39+CG43+CG56+CG57+CG20+CG31+CG32</f>
        <v>-22943561.890000004</v>
      </c>
    </row>
    <row r="69" spans="1:85">
      <c r="A69" s="3" t="s">
        <v>48</v>
      </c>
      <c r="B69" s="4">
        <f t="shared" ref="B69:G69" si="101">B44</f>
        <v>33568.39</v>
      </c>
      <c r="C69" s="4">
        <f t="shared" si="101"/>
        <v>64333.86</v>
      </c>
      <c r="D69" s="4">
        <f t="shared" si="101"/>
        <v>0.94</v>
      </c>
      <c r="E69" s="4">
        <f t="shared" si="101"/>
        <v>17732.86</v>
      </c>
      <c r="F69" s="4">
        <f t="shared" si="101"/>
        <v>41929.370000000003</v>
      </c>
      <c r="G69" s="4">
        <f t="shared" si="101"/>
        <v>24937.439999999999</v>
      </c>
      <c r="H69" s="4">
        <f>H44</f>
        <v>0</v>
      </c>
      <c r="I69" s="4">
        <f t="shared" ref="I69:U69" si="102">I44</f>
        <v>0</v>
      </c>
      <c r="J69" s="4">
        <f t="shared" si="102"/>
        <v>0</v>
      </c>
      <c r="K69" s="4">
        <f t="shared" si="102"/>
        <v>0</v>
      </c>
      <c r="L69" s="4">
        <f t="shared" si="102"/>
        <v>38446.080000000002</v>
      </c>
      <c r="M69" s="4">
        <f t="shared" si="102"/>
        <v>-45957.46</v>
      </c>
      <c r="N69" s="4">
        <f t="shared" si="102"/>
        <v>88877.63</v>
      </c>
      <c r="O69" s="4">
        <f t="shared" si="102"/>
        <v>0</v>
      </c>
      <c r="P69" s="4">
        <f t="shared" si="102"/>
        <v>0.81</v>
      </c>
      <c r="Q69" s="4">
        <f t="shared" si="102"/>
        <v>6953.99</v>
      </c>
      <c r="R69" s="4">
        <f t="shared" si="102"/>
        <v>0</v>
      </c>
      <c r="S69" s="4">
        <f t="shared" si="102"/>
        <v>0.28000000000000003</v>
      </c>
      <c r="T69" s="4">
        <f t="shared" si="102"/>
        <v>0.12</v>
      </c>
      <c r="U69" s="4">
        <f t="shared" si="102"/>
        <v>0</v>
      </c>
      <c r="V69" s="4">
        <f t="shared" ref="V69:Y69" si="103">V44</f>
        <v>20861.3</v>
      </c>
      <c r="W69" s="4">
        <f t="shared" si="103"/>
        <v>0</v>
      </c>
      <c r="X69" s="4">
        <f t="shared" si="103"/>
        <v>0</v>
      </c>
      <c r="Y69" s="4">
        <f t="shared" si="103"/>
        <v>0.16</v>
      </c>
      <c r="Z69" s="4">
        <f t="shared" ref="Z69:AA69" si="104">Z44</f>
        <v>0</v>
      </c>
      <c r="AA69" s="4">
        <f t="shared" si="104"/>
        <v>0</v>
      </c>
      <c r="AB69" s="4">
        <f t="shared" ref="AB69:AD69" si="105">AB44</f>
        <v>0</v>
      </c>
      <c r="AC69" s="4">
        <f t="shared" si="105"/>
        <v>0</v>
      </c>
      <c r="AD69" s="4">
        <f t="shared" si="105"/>
        <v>0</v>
      </c>
      <c r="AE69" s="4">
        <f t="shared" ref="AE69:AF69" si="106">AE44</f>
        <v>0</v>
      </c>
      <c r="AF69" s="4">
        <f t="shared" si="106"/>
        <v>0</v>
      </c>
      <c r="AG69" s="4">
        <f t="shared" ref="AG69:AH69" si="107">AG44</f>
        <v>0</v>
      </c>
      <c r="AH69" s="4">
        <f t="shared" si="107"/>
        <v>0</v>
      </c>
      <c r="AI69" s="4">
        <f t="shared" ref="AI69:AJ69" si="108">AI44</f>
        <v>0</v>
      </c>
      <c r="AJ69" s="4">
        <f t="shared" si="108"/>
        <v>0</v>
      </c>
      <c r="AK69" s="4">
        <f t="shared" ref="AK69:AL69" si="109">AK44</f>
        <v>0</v>
      </c>
      <c r="AL69" s="4">
        <f t="shared" si="109"/>
        <v>0</v>
      </c>
      <c r="AM69" s="4">
        <f t="shared" ref="AM69:AN69" si="110">AM44</f>
        <v>0</v>
      </c>
      <c r="AN69" s="4">
        <f t="shared" si="110"/>
        <v>0</v>
      </c>
      <c r="AO69" s="4">
        <f t="shared" ref="AO69:AP69" si="111">AO44</f>
        <v>0</v>
      </c>
      <c r="AP69" s="4">
        <f t="shared" si="111"/>
        <v>0</v>
      </c>
      <c r="AQ69" s="4">
        <f t="shared" ref="AQ69:AR69" si="112">AQ44</f>
        <v>0</v>
      </c>
      <c r="AR69" s="4">
        <f t="shared" si="112"/>
        <v>0</v>
      </c>
      <c r="AS69" s="4">
        <f t="shared" ref="AS69:AT69" si="113">AS44</f>
        <v>0</v>
      </c>
      <c r="AT69" s="4">
        <f t="shared" si="113"/>
        <v>0</v>
      </c>
      <c r="AU69" s="4">
        <f t="shared" ref="AU69:AV69" si="114">AU44</f>
        <v>0</v>
      </c>
      <c r="AV69" s="4">
        <f t="shared" si="114"/>
        <v>0</v>
      </c>
      <c r="BG69" s="4">
        <f t="shared" ref="BG69:BL69" si="115">+BG44</f>
        <v>561482.04</v>
      </c>
      <c r="BH69" s="4">
        <f t="shared" si="115"/>
        <v>57102.77</v>
      </c>
      <c r="BI69" s="4">
        <f t="shared" si="115"/>
        <v>-150016.66</v>
      </c>
      <c r="BJ69" s="4">
        <f t="shared" si="115"/>
        <v>0</v>
      </c>
      <c r="BK69" s="4">
        <f t="shared" si="115"/>
        <v>0</v>
      </c>
      <c r="BL69" s="4">
        <f t="shared" si="115"/>
        <v>51259.82</v>
      </c>
      <c r="BM69" s="4">
        <f t="shared" ref="BM69:BN69" si="116">+BM44</f>
        <v>0</v>
      </c>
      <c r="BN69" s="4">
        <f t="shared" si="116"/>
        <v>0</v>
      </c>
      <c r="BO69" s="4">
        <f t="shared" ref="BO69:BP69" si="117">+BO44</f>
        <v>0</v>
      </c>
      <c r="BP69" s="4">
        <f t="shared" si="117"/>
        <v>0</v>
      </c>
      <c r="BQ69" s="4">
        <f t="shared" ref="BQ69:BR69" si="118">+BQ44</f>
        <v>0</v>
      </c>
      <c r="BR69" s="4">
        <f t="shared" si="118"/>
        <v>0</v>
      </c>
      <c r="BS69" s="4">
        <f t="shared" ref="BS69:BT69" si="119">+BS44</f>
        <v>0</v>
      </c>
      <c r="BT69" s="4">
        <f t="shared" si="119"/>
        <v>374545.75</v>
      </c>
      <c r="BU69" s="4">
        <f t="shared" ref="BU69:BV69" si="120">+BU44</f>
        <v>157643.82</v>
      </c>
      <c r="BV69" s="4">
        <f t="shared" si="120"/>
        <v>0</v>
      </c>
      <c r="BW69" s="4">
        <f t="shared" ref="BW69:BX69" si="121">+BW44</f>
        <v>0</v>
      </c>
      <c r="BX69" s="4">
        <f t="shared" si="121"/>
        <v>0</v>
      </c>
      <c r="BY69" s="4">
        <f t="shared" ref="BY69:BZ69" si="122">+BY44</f>
        <v>0</v>
      </c>
      <c r="BZ69" s="4">
        <f t="shared" si="122"/>
        <v>0</v>
      </c>
      <c r="CA69" s="4">
        <f t="shared" ref="CA69:CB69" si="123">+CA44</f>
        <v>0</v>
      </c>
      <c r="CB69" s="4">
        <f t="shared" si="123"/>
        <v>0</v>
      </c>
      <c r="CC69" s="4">
        <f t="shared" ref="CC69:CD69" si="124">+CC44</f>
        <v>0</v>
      </c>
      <c r="CD69" s="4">
        <f t="shared" si="124"/>
        <v>0</v>
      </c>
      <c r="CE69" s="4">
        <f t="shared" ref="CE69:CF69" si="125">+CE44</f>
        <v>0</v>
      </c>
      <c r="CF69" s="4">
        <f t="shared" si="125"/>
        <v>0</v>
      </c>
      <c r="CG69" s="4">
        <f t="shared" ref="CG69" si="126">+CG44</f>
        <v>0</v>
      </c>
    </row>
    <row r="70" spans="1:85">
      <c r="A70" s="3" t="s">
        <v>49</v>
      </c>
      <c r="B70" s="4">
        <f t="shared" ref="B70:G70" si="127">SUM(B66:B69)</f>
        <v>6999063.709999999</v>
      </c>
      <c r="C70" s="4">
        <f t="shared" si="127"/>
        <v>7631018.21</v>
      </c>
      <c r="D70" s="4">
        <f t="shared" si="127"/>
        <v>48796785.159999996</v>
      </c>
      <c r="E70" s="4">
        <f t="shared" si="127"/>
        <v>9198340.0199999996</v>
      </c>
      <c r="F70" s="4">
        <f t="shared" si="127"/>
        <v>17831822.510000002</v>
      </c>
      <c r="G70" s="4">
        <f t="shared" si="127"/>
        <v>46093889.960000001</v>
      </c>
      <c r="H70" s="4">
        <f t="shared" ref="H70:AC70" si="128">SUM(H66:H69)</f>
        <v>10252201.259999998</v>
      </c>
      <c r="I70" s="4">
        <f t="shared" ref="I70:U70" si="129">SUM(I66:I69)</f>
        <v>17295931.920000002</v>
      </c>
      <c r="J70" s="4">
        <f t="shared" si="129"/>
        <v>46292866.060000002</v>
      </c>
      <c r="K70" s="4">
        <f t="shared" si="129"/>
        <v>6227744.6899999985</v>
      </c>
      <c r="L70" s="4">
        <f t="shared" si="129"/>
        <v>22697393.259999998</v>
      </c>
      <c r="M70" s="4">
        <f t="shared" si="129"/>
        <v>81876156.900000021</v>
      </c>
      <c r="N70" s="4">
        <f t="shared" si="129"/>
        <v>6321980.7500000019</v>
      </c>
      <c r="O70" s="4">
        <f t="shared" si="129"/>
        <v>8359157.6100000003</v>
      </c>
      <c r="P70" s="4">
        <f t="shared" si="129"/>
        <v>15297202.859999998</v>
      </c>
      <c r="Q70" s="4">
        <f t="shared" si="129"/>
        <v>1210826.24</v>
      </c>
      <c r="R70" s="4">
        <f t="shared" si="129"/>
        <v>8081835.2400000002</v>
      </c>
      <c r="S70" s="4">
        <f t="shared" si="129"/>
        <v>30880559.609999999</v>
      </c>
      <c r="T70" s="4">
        <f t="shared" si="129"/>
        <v>4936563.1499999994</v>
      </c>
      <c r="U70" s="4">
        <f t="shared" si="129"/>
        <v>9487368.5400000028</v>
      </c>
      <c r="V70" s="4">
        <f t="shared" ref="V70:Y70" si="130">SUM(V66:V69)</f>
        <v>22782608.110000003</v>
      </c>
      <c r="W70" s="4">
        <f t="shared" si="130"/>
        <v>9031978.1600000001</v>
      </c>
      <c r="X70" s="4">
        <f t="shared" si="130"/>
        <v>7763040.0199999996</v>
      </c>
      <c r="Y70" s="4">
        <f t="shared" si="130"/>
        <v>30620069.059999995</v>
      </c>
      <c r="Z70" s="4">
        <f t="shared" ref="Z70:AA70" si="131">SUM(Z66:Z69)</f>
        <v>7963775.4600000009</v>
      </c>
      <c r="AA70" s="4">
        <f t="shared" si="131"/>
        <v>11020519.829999998</v>
      </c>
      <c r="AB70" s="4">
        <f t="shared" ref="AB70" si="132">SUM(AB66:AB69)</f>
        <v>21620674.280000001</v>
      </c>
      <c r="AC70" s="4">
        <f t="shared" si="128"/>
        <v>10859677.9</v>
      </c>
      <c r="AD70" s="4">
        <f t="shared" ref="AD70:AE70" si="133">SUM(AD66:AD69)</f>
        <v>14667381.079999998</v>
      </c>
      <c r="AE70" s="4">
        <f t="shared" si="133"/>
        <v>32352431.660000004</v>
      </c>
      <c r="AF70" s="4">
        <f t="shared" ref="AF70:AG70" si="134">SUM(AF66:AF69)</f>
        <v>15527536.460000001</v>
      </c>
      <c r="AG70" s="4">
        <f t="shared" si="134"/>
        <v>14512480.550000001</v>
      </c>
      <c r="AH70" s="4">
        <f t="shared" ref="AH70:AI70" si="135">SUM(AH66:AH69)</f>
        <v>25945124.849999998</v>
      </c>
      <c r="AI70" s="4">
        <f t="shared" si="135"/>
        <v>8521872.7000000011</v>
      </c>
      <c r="AJ70" s="4">
        <f t="shared" ref="AJ70:AK70" si="136">SUM(AJ66:AJ69)</f>
        <v>18079329.009999998</v>
      </c>
      <c r="AK70" s="4">
        <f t="shared" si="136"/>
        <v>52010309</v>
      </c>
      <c r="AL70" s="4">
        <f t="shared" ref="AL70:AM70" si="137">SUM(AL66:AL69)</f>
        <v>19813285.300000001</v>
      </c>
      <c r="AM70" s="4">
        <f t="shared" si="137"/>
        <v>18426075.780000001</v>
      </c>
      <c r="AN70" s="4">
        <f t="shared" ref="AN70:AO70" si="138">SUM(AN66:AN69)</f>
        <v>41306887.059999995</v>
      </c>
      <c r="AO70" s="4">
        <f t="shared" si="138"/>
        <v>12006401.640000001</v>
      </c>
      <c r="AP70" s="4">
        <f t="shared" ref="AP70:AQ70" si="139">SUM(AP66:AP69)</f>
        <v>15335740.459999999</v>
      </c>
      <c r="AQ70" s="4">
        <f t="shared" si="139"/>
        <v>50008108.350000009</v>
      </c>
      <c r="AR70" s="4">
        <f t="shared" ref="AR70:AS70" si="140">SUM(AR66:AR69)</f>
        <v>11965314.919999998</v>
      </c>
      <c r="AS70" s="4">
        <f t="shared" si="140"/>
        <v>28218999.140000001</v>
      </c>
      <c r="AT70" s="4">
        <f t="shared" ref="AT70:AU70" si="141">SUM(AT66:AT69)</f>
        <v>62833621.140000001</v>
      </c>
      <c r="AU70" s="4">
        <f t="shared" si="141"/>
        <v>16445189.510000002</v>
      </c>
      <c r="AV70" s="4">
        <f t="shared" ref="AV70:AW70" si="142">SUM(AV66:AV69)</f>
        <v>36166035.530000001</v>
      </c>
      <c r="AW70" s="4">
        <f t="shared" si="142"/>
        <v>64203778.530000001</v>
      </c>
      <c r="AX70" s="4">
        <f t="shared" ref="AX70:AY70" si="143">SUM(AX66:AX69)</f>
        <v>19494876.859999999</v>
      </c>
      <c r="AY70" s="4">
        <f t="shared" si="143"/>
        <v>26293326.080000002</v>
      </c>
      <c r="AZ70" s="4">
        <f t="shared" ref="AZ70:BA70" si="144">SUM(AZ66:AZ69)</f>
        <v>59978400.290000007</v>
      </c>
      <c r="BA70" s="4">
        <f t="shared" si="144"/>
        <v>21885408.040000003</v>
      </c>
      <c r="BB70" s="4">
        <f t="shared" ref="BB70:BC70" si="145">SUM(BB66:BB69)</f>
        <v>38274955.939999998</v>
      </c>
      <c r="BC70" s="4">
        <f t="shared" si="145"/>
        <v>46420421.670000002</v>
      </c>
      <c r="BD70" s="4">
        <f t="shared" ref="BD70:BE70" si="146">SUM(BD66:BD69)</f>
        <v>19705798.98</v>
      </c>
      <c r="BE70" s="4">
        <f t="shared" si="146"/>
        <v>37351403.379999995</v>
      </c>
      <c r="BF70" s="4">
        <f t="shared" ref="BF70:BG70" si="147">SUM(BF66:BF69)</f>
        <v>45286308.320000008</v>
      </c>
      <c r="BG70" s="4">
        <f t="shared" si="147"/>
        <v>24620669.93</v>
      </c>
      <c r="BH70" s="4">
        <f t="shared" ref="BH70:BI70" si="148">SUM(BH66:BH69)</f>
        <v>33496409.479999997</v>
      </c>
      <c r="BI70" s="4">
        <f t="shared" si="148"/>
        <v>52803762.710000008</v>
      </c>
      <c r="BJ70" s="4">
        <f t="shared" ref="BJ70:BK70" si="149">SUM(BJ66:BJ69)</f>
        <v>11989955.92</v>
      </c>
      <c r="BK70" s="4">
        <f t="shared" si="149"/>
        <v>22248179.429999996</v>
      </c>
      <c r="BL70" s="4">
        <f t="shared" ref="BL70:BM70" si="150">SUM(BL66:BL69)</f>
        <v>52199993.679999985</v>
      </c>
      <c r="BM70" s="4">
        <f t="shared" si="150"/>
        <v>14690689.130000001</v>
      </c>
      <c r="BN70" s="4">
        <f t="shared" ref="BN70:BO70" si="151">SUM(BN66:BN69)</f>
        <v>18255469.810000002</v>
      </c>
      <c r="BO70" s="4">
        <f t="shared" si="151"/>
        <v>51892945.150000006</v>
      </c>
      <c r="BP70" s="4">
        <f t="shared" ref="BP70:BQ70" si="152">SUM(BP66:BP69)</f>
        <v>14809231.82</v>
      </c>
      <c r="BQ70" s="4">
        <f t="shared" si="152"/>
        <v>27116975.890000001</v>
      </c>
      <c r="BR70" s="4">
        <f t="shared" ref="BR70:BS70" si="153">SUM(BR66:BR69)</f>
        <v>52593400.349999994</v>
      </c>
      <c r="BS70" s="4">
        <f t="shared" si="153"/>
        <v>18375958.25</v>
      </c>
      <c r="BT70" s="4">
        <f t="shared" ref="BT70:BV70" si="154">SUM(BT66:BT69)</f>
        <v>28205224.460000001</v>
      </c>
      <c r="BU70" s="4">
        <f t="shared" si="154"/>
        <v>87892300.679999977</v>
      </c>
      <c r="BV70" s="4">
        <f t="shared" si="154"/>
        <v>10466693.529999999</v>
      </c>
      <c r="BW70" s="4">
        <f t="shared" ref="BW70:BX70" si="155">SUM(BW66:BW69)</f>
        <v>20514227.109999999</v>
      </c>
      <c r="BX70" s="4">
        <f t="shared" si="155"/>
        <v>47979587.579999998</v>
      </c>
      <c r="BY70" s="4">
        <f t="shared" ref="BY70:BZ70" si="156">SUM(BY66:BY69)</f>
        <v>8641759.7300000004</v>
      </c>
      <c r="BZ70" s="4">
        <f t="shared" si="156"/>
        <v>18725028.380000003</v>
      </c>
      <c r="CA70" s="4">
        <f t="shared" ref="CA70:CB70" si="157">SUM(CA66:CA69)</f>
        <v>43758065.170000002</v>
      </c>
      <c r="CB70" s="4">
        <f t="shared" si="157"/>
        <v>14177163.17</v>
      </c>
      <c r="CC70" s="4">
        <f t="shared" ref="CC70:CD70" si="158">SUM(CC66:CC69)</f>
        <v>33263199.550000004</v>
      </c>
      <c r="CD70" s="4">
        <f t="shared" si="158"/>
        <v>52165642.779999986</v>
      </c>
      <c r="CE70" s="4">
        <f t="shared" ref="CE70:CF70" si="159">SUM(CE66:CE69)</f>
        <v>24627026.039999999</v>
      </c>
      <c r="CF70" s="4">
        <f t="shared" si="159"/>
        <v>33228813.649999999</v>
      </c>
      <c r="CG70" s="4">
        <f t="shared" ref="CG70" si="160">SUM(CG66:CG69)</f>
        <v>87903832.220000014</v>
      </c>
    </row>
    <row r="71" spans="1:85">
      <c r="A71" s="3" t="str">
        <f>"Check"</f>
        <v>Check</v>
      </c>
      <c r="B71" t="b">
        <f>B70=B59</f>
        <v>1</v>
      </c>
      <c r="C71" t="b">
        <f t="shared" ref="C71:AD71" si="161">C70=C59</f>
        <v>1</v>
      </c>
      <c r="D71" t="b">
        <f t="shared" si="161"/>
        <v>1</v>
      </c>
      <c r="E71" t="b">
        <f t="shared" si="161"/>
        <v>1</v>
      </c>
      <c r="F71" t="b">
        <f t="shared" si="161"/>
        <v>1</v>
      </c>
      <c r="G71" t="b">
        <f t="shared" si="161"/>
        <v>1</v>
      </c>
      <c r="H71" t="b">
        <f t="shared" si="161"/>
        <v>1</v>
      </c>
      <c r="I71" t="b">
        <f t="shared" si="161"/>
        <v>1</v>
      </c>
      <c r="J71" t="b">
        <f t="shared" si="161"/>
        <v>1</v>
      </c>
      <c r="K71" t="b">
        <f t="shared" si="161"/>
        <v>1</v>
      </c>
      <c r="L71" t="b">
        <f t="shared" si="161"/>
        <v>1</v>
      </c>
      <c r="M71" t="b">
        <f t="shared" si="161"/>
        <v>1</v>
      </c>
      <c r="N71" t="b">
        <f t="shared" si="161"/>
        <v>1</v>
      </c>
      <c r="O71" t="b">
        <f t="shared" si="161"/>
        <v>1</v>
      </c>
      <c r="P71" t="b">
        <f t="shared" si="161"/>
        <v>1</v>
      </c>
      <c r="Q71" t="b">
        <f t="shared" si="161"/>
        <v>1</v>
      </c>
      <c r="R71" t="b">
        <f t="shared" si="161"/>
        <v>1</v>
      </c>
      <c r="S71" t="b">
        <f t="shared" si="161"/>
        <v>1</v>
      </c>
      <c r="T71" t="b">
        <f t="shared" si="161"/>
        <v>1</v>
      </c>
      <c r="U71" t="b">
        <f t="shared" si="161"/>
        <v>1</v>
      </c>
      <c r="V71" t="b">
        <f t="shared" si="161"/>
        <v>1</v>
      </c>
      <c r="W71" t="b">
        <f t="shared" si="161"/>
        <v>1</v>
      </c>
      <c r="X71" t="b">
        <f t="shared" si="161"/>
        <v>1</v>
      </c>
      <c r="Y71" t="b">
        <f t="shared" si="161"/>
        <v>1</v>
      </c>
      <c r="Z71" t="b">
        <f t="shared" si="161"/>
        <v>1</v>
      </c>
      <c r="AA71" t="b">
        <f t="shared" si="161"/>
        <v>1</v>
      </c>
      <c r="AB71" t="b">
        <f t="shared" si="161"/>
        <v>1</v>
      </c>
      <c r="AC71" t="b">
        <f t="shared" si="161"/>
        <v>1</v>
      </c>
      <c r="AD71" t="b">
        <f t="shared" si="161"/>
        <v>1</v>
      </c>
      <c r="AE71" t="b">
        <f t="shared" ref="AE71:AF71" si="162">AE70=AE59</f>
        <v>1</v>
      </c>
      <c r="AF71" t="b">
        <f t="shared" si="162"/>
        <v>1</v>
      </c>
      <c r="AG71" t="b">
        <f t="shared" ref="AG71:AH71" si="163">AG70=AG59</f>
        <v>1</v>
      </c>
      <c r="AH71" t="b">
        <f t="shared" si="163"/>
        <v>1</v>
      </c>
      <c r="AI71" t="b">
        <f t="shared" ref="AI71:AJ71" si="164">AI70=AI59</f>
        <v>1</v>
      </c>
      <c r="AJ71" t="b">
        <f t="shared" si="164"/>
        <v>1</v>
      </c>
      <c r="AK71" t="b">
        <f t="shared" ref="AK71:AL71" si="165">AK70=AK59</f>
        <v>1</v>
      </c>
      <c r="AL71" t="b">
        <f t="shared" si="165"/>
        <v>1</v>
      </c>
      <c r="AM71" t="b">
        <f t="shared" ref="AM71:AN71" si="166">AM70=AM59</f>
        <v>1</v>
      </c>
      <c r="AN71" t="b">
        <f t="shared" si="166"/>
        <v>1</v>
      </c>
      <c r="AO71" t="b">
        <f t="shared" ref="AO71:AP71" si="167">AO70=AO59</f>
        <v>1</v>
      </c>
      <c r="AP71" t="b">
        <f t="shared" si="167"/>
        <v>1</v>
      </c>
      <c r="AQ71" t="b">
        <f t="shared" ref="AQ71:AR71" si="168">AQ70=AQ59</f>
        <v>1</v>
      </c>
      <c r="AR71" t="b">
        <f t="shared" si="168"/>
        <v>1</v>
      </c>
      <c r="AS71" t="b">
        <f t="shared" ref="AS71:AT71" si="169">AS70=AS59</f>
        <v>1</v>
      </c>
      <c r="AT71" t="b">
        <f t="shared" si="169"/>
        <v>1</v>
      </c>
      <c r="AU71" t="b">
        <f t="shared" ref="AU71:AV71" si="170">AU70=AU59</f>
        <v>1</v>
      </c>
      <c r="AV71" t="b">
        <f t="shared" si="170"/>
        <v>1</v>
      </c>
      <c r="AW71" t="b">
        <f t="shared" ref="AW71:AX71" si="171">AW70=AW59</f>
        <v>1</v>
      </c>
      <c r="AX71" t="b">
        <f t="shared" si="171"/>
        <v>1</v>
      </c>
      <c r="AY71" t="b">
        <f t="shared" ref="AY71:AZ71" si="172">AY70=AY59</f>
        <v>1</v>
      </c>
      <c r="AZ71" t="b">
        <f t="shared" si="172"/>
        <v>1</v>
      </c>
      <c r="BA71" t="b">
        <f t="shared" ref="BA71:BB71" si="173">BA70=BA59</f>
        <v>1</v>
      </c>
      <c r="BB71" t="b">
        <f t="shared" si="173"/>
        <v>1</v>
      </c>
      <c r="BC71" t="b">
        <f t="shared" ref="BC71:BD71" si="174">BC70=BC59</f>
        <v>1</v>
      </c>
      <c r="BD71" t="b">
        <f t="shared" si="174"/>
        <v>1</v>
      </c>
      <c r="BE71" t="b">
        <f t="shared" ref="BE71:BF71" si="175">BE70=BE59</f>
        <v>1</v>
      </c>
      <c r="BF71" t="b">
        <f t="shared" si="175"/>
        <v>1</v>
      </c>
      <c r="BG71" t="b">
        <f t="shared" ref="BG71:BH71" si="176">BG70=BG59</f>
        <v>1</v>
      </c>
      <c r="BH71" t="b">
        <f t="shared" si="176"/>
        <v>1</v>
      </c>
      <c r="BI71" t="b">
        <f t="shared" ref="BI71:BJ71" si="177">BI70=BI59</f>
        <v>1</v>
      </c>
      <c r="BJ71" t="b">
        <f t="shared" si="177"/>
        <v>1</v>
      </c>
      <c r="BK71" t="b">
        <f t="shared" ref="BK71:BL71" si="178">BK70=BK59</f>
        <v>1</v>
      </c>
      <c r="BL71" t="b">
        <f t="shared" si="178"/>
        <v>1</v>
      </c>
      <c r="BM71" t="b">
        <f t="shared" ref="BM71:BN71" si="179">BM70=BM59</f>
        <v>1</v>
      </c>
      <c r="BN71" t="b">
        <f t="shared" si="179"/>
        <v>1</v>
      </c>
      <c r="BO71" t="b">
        <f t="shared" ref="BO71:BP71" si="180">BO70=BO59</f>
        <v>1</v>
      </c>
      <c r="BP71" t="b">
        <f t="shared" si="180"/>
        <v>1</v>
      </c>
      <c r="BQ71" t="b">
        <f t="shared" ref="BQ71:BR71" si="181">BQ70=BQ59</f>
        <v>1</v>
      </c>
      <c r="BR71" t="b">
        <f t="shared" si="181"/>
        <v>1</v>
      </c>
      <c r="BS71" t="b">
        <f t="shared" ref="BS71:BT71" si="182">BS70=BS59</f>
        <v>1</v>
      </c>
      <c r="BT71" t="b">
        <f t="shared" si="182"/>
        <v>1</v>
      </c>
      <c r="BU71" t="b">
        <f t="shared" ref="BU71:BV71" si="183">BU70=BU59</f>
        <v>1</v>
      </c>
      <c r="BV71" t="b">
        <f t="shared" si="183"/>
        <v>1</v>
      </c>
      <c r="BW71" t="b">
        <f t="shared" ref="BW71:BX71" si="184">BW70=BW59</f>
        <v>1</v>
      </c>
      <c r="BX71" t="b">
        <f t="shared" si="184"/>
        <v>1</v>
      </c>
      <c r="BY71" t="b">
        <f t="shared" ref="BY71:BZ71" si="185">BY70=BY59</f>
        <v>1</v>
      </c>
      <c r="BZ71" t="b">
        <f t="shared" si="185"/>
        <v>1</v>
      </c>
      <c r="CA71" t="b">
        <f t="shared" ref="CA71:CB71" si="186">CA70=CA59</f>
        <v>1</v>
      </c>
      <c r="CB71" t="b">
        <f t="shared" si="186"/>
        <v>1</v>
      </c>
      <c r="CC71" t="b">
        <f t="shared" ref="CC71:CD71" si="187">CC70=CC59</f>
        <v>1</v>
      </c>
      <c r="CD71" t="b">
        <f t="shared" si="187"/>
        <v>1</v>
      </c>
      <c r="CE71" t="b">
        <f t="shared" ref="CE71:CF71" si="188">CE70=CE59</f>
        <v>1</v>
      </c>
      <c r="CF71" t="b">
        <f t="shared" si="188"/>
        <v>1</v>
      </c>
      <c r="CG71" t="b">
        <f t="shared" ref="CG71" si="189">CG70=CG59</f>
        <v>1</v>
      </c>
    </row>
    <row r="74" spans="1:85">
      <c r="CE74" s="19"/>
      <c r="CF74" s="19"/>
      <c r="CG74" s="19"/>
    </row>
    <row r="76" spans="1:85">
      <c r="CE76" s="19"/>
      <c r="CF76" s="19"/>
      <c r="CG76" s="19"/>
    </row>
  </sheetData>
  <pageMargins left="0.7" right="0.7" top="0.75" bottom="0.75" header="0.3" footer="0.3"/>
  <pageSetup orientation="portrait" r:id="rId1"/>
  <customProperties>
    <customPr name="_pios_id" r:id="rId2"/>
    <customPr name="FPMExcelClientCellBasedFunctionStatus" r:id="rId3"/>
    <customPr name="FPMExcelClientRefreshTime" r:id="rId4"/>
  </customProperties>
  <drawing r:id="rId5"/>
  <legacyDrawing r:id="rId6"/>
  <controls>
    <mc:AlternateContent xmlns:mc="http://schemas.openxmlformats.org/markup-compatibility/2006">
      <mc:Choice Requires="x14">
        <control shapeId="1025" r:id="rId13" name="FPMExcelClientSheetOptionstb1">
          <controlPr defaultSize="0" autoLine="0" autoPict="0" r:id="rId14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1333500</xdr:colOff>
                <xdr:row>0</xdr:row>
                <xdr:rowOff>0</xdr:rowOff>
              </to>
            </anchor>
          </controlPr>
        </control>
      </mc:Choice>
      <mc:Fallback>
        <control shapeId="1025" r:id="rId13" name="FPMExcelClientSheetOptionstb1"/>
      </mc:Fallback>
    </mc:AlternateContent>
    <mc:AlternateContent xmlns:mc="http://schemas.openxmlformats.org/markup-compatibility/2006">
      <mc:Choice Requires="x14">
        <control shapeId="1026" r:id="rId11" name="ConnectionDescriptorsInfo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1333500</xdr:colOff>
                <xdr:row>0</xdr:row>
                <xdr:rowOff>0</xdr:rowOff>
              </to>
            </anchor>
          </controlPr>
        </control>
      </mc:Choice>
      <mc:Fallback>
        <control shapeId="1026" r:id="rId11" name="ConnectionDescriptorsInfotb1"/>
      </mc:Fallback>
    </mc:AlternateContent>
    <mc:AlternateContent xmlns:mc="http://schemas.openxmlformats.org/markup-compatibility/2006">
      <mc:Choice Requires="x14">
        <control shapeId="1027" r:id="rId9" name="MultipleReportManager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1333500</xdr:colOff>
                <xdr:row>0</xdr:row>
                <xdr:rowOff>0</xdr:rowOff>
              </to>
            </anchor>
          </controlPr>
        </control>
      </mc:Choice>
      <mc:Fallback>
        <control shapeId="1027" r:id="rId9" name="MultipleReportManagerInfotb1"/>
      </mc:Fallback>
    </mc:AlternateContent>
    <mc:AlternateContent xmlns:mc="http://schemas.openxmlformats.org/markup-compatibility/2006">
      <mc:Choice Requires="x14">
        <control shapeId="1028" r:id="rId7" name="AnalyzerDynReport000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1333500</xdr:colOff>
                <xdr:row>0</xdr:row>
                <xdr:rowOff>0</xdr:rowOff>
              </to>
            </anchor>
          </controlPr>
        </control>
      </mc:Choice>
      <mc:Fallback>
        <control shapeId="1028" r:id="rId7" name="AnalyzerDynReport000tb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C07D8-5AA5-40B1-98DD-163259CEAB9E}"/>
</file>

<file path=customXml/itemProps2.xml><?xml version="1.0" encoding="utf-8"?>
<ds:datastoreItem xmlns:ds="http://schemas.openxmlformats.org/officeDocument/2006/customXml" ds:itemID="{28EAAF54-9548-4ABA-A7B6-0987221E95C6}"/>
</file>

<file path=customXml/itemProps3.xml><?xml version="1.0" encoding="utf-8"?>
<ds:datastoreItem xmlns:ds="http://schemas.openxmlformats.org/officeDocument/2006/customXml" ds:itemID="{8095AFCF-EC28-45BE-AEBF-1346EB2B2981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Giacomini, Eric</dc:creator>
  <cp:keywords/>
  <dc:description/>
  <cp:lastModifiedBy/>
  <cp:revision/>
  <dcterms:created xsi:type="dcterms:W3CDTF">2020-09-15T20:47:05Z</dcterms:created>
  <dcterms:modified xsi:type="dcterms:W3CDTF">2026-02-20T06:28:35Z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