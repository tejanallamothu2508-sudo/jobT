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igtplc-my.sharepoint.com/personal/maria_zwick_igt_com/Documents/Desktop/Databricks Examples/"/>
    </mc:Choice>
  </mc:AlternateContent>
  <xr:revisionPtr revIDLastSave="0" documentId="8_{BC7A124D-A0A9-4708-837D-53FC39CFA879}" xr6:coauthVersionLast="47" xr6:coauthVersionMax="47" xr10:uidLastSave="{00000000-0000-0000-0000-000000000000}"/>
  <bookViews>
    <workbookView xWindow="-120" yWindow="-120" windowWidth="24240" windowHeight="13020" tabRatio="740" firstSheet="2" activeTab="2" xr2:uid="{5C7AB7F0-ECD2-483D-BDB0-492AC38BD900}"/>
  </bookViews>
  <sheets>
    <sheet name="AR Billing Folder" sheetId="16" r:id="rId1"/>
    <sheet name="Pivot Summary" sheetId="7" r:id="rId2"/>
    <sheet name="WP" sheetId="4" r:id="rId3"/>
    <sheet name="Billing Plan List" sheetId="18" r:id="rId4"/>
    <sheet name="Lookup" sheetId="3" r:id="rId5"/>
  </sheets>
  <definedNames>
    <definedName name="_xlnm._FilterDatabase" localSheetId="4" hidden="1">Lookup!$B$1:$C$1</definedName>
    <definedName name="_xlnm._FilterDatabase" localSheetId="1" hidden="1">'Pivot Summary'!$A$5:$M$23</definedName>
    <definedName name="_xlnm._FilterDatabase" localSheetId="2" hidden="1">WP!$B$2:$M$761</definedName>
  </definedNames>
  <calcPr calcId="191028"/>
  <pivotCaches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7" l="1"/>
  <c r="B315" i="4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314" i="4"/>
  <c r="B313" i="4" l="1"/>
  <c r="B309" i="4"/>
  <c r="B310" i="4" s="1"/>
  <c r="B311" i="4" s="1"/>
  <c r="B312" i="4" s="1"/>
  <c r="G308" i="4"/>
  <c r="G309" i="4"/>
  <c r="G310" i="4"/>
  <c r="G311" i="4"/>
  <c r="G312" i="4"/>
  <c r="B308" i="4" l="1"/>
  <c r="B305" i="4"/>
  <c r="B306" i="4" s="1"/>
  <c r="B307" i="4" s="1"/>
  <c r="G305" i="4"/>
  <c r="G306" i="4"/>
  <c r="G307" i="4"/>
  <c r="G304" i="4"/>
  <c r="B304" i="4" l="1"/>
  <c r="B264" i="4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263" i="4"/>
  <c r="B262" i="4" l="1"/>
  <c r="B257" i="4"/>
  <c r="B258" i="4" s="1"/>
  <c r="B259" i="4" s="1"/>
  <c r="B260" i="4" s="1"/>
  <c r="B261" i="4" s="1"/>
  <c r="G256" i="4"/>
  <c r="G257" i="4"/>
  <c r="G258" i="4"/>
  <c r="G259" i="4"/>
  <c r="G260" i="4"/>
  <c r="G261" i="4"/>
  <c r="B256" i="4" l="1"/>
  <c r="B217" i="4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16" i="4"/>
  <c r="B216" i="4" l="1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B67" i="4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I66" i="4"/>
  <c r="J66" i="4" s="1"/>
  <c r="I67" i="4"/>
  <c r="J67" i="4"/>
  <c r="I68" i="4"/>
  <c r="J68" i="4" s="1"/>
  <c r="I69" i="4"/>
  <c r="J69" i="4" s="1"/>
  <c r="I70" i="4"/>
  <c r="J70" i="4" s="1"/>
  <c r="I71" i="4"/>
  <c r="J71" i="4"/>
  <c r="I72" i="4"/>
  <c r="J72" i="4"/>
  <c r="I73" i="4"/>
  <c r="J73" i="4"/>
  <c r="I74" i="4"/>
  <c r="J74" i="4" s="1"/>
  <c r="I75" i="4"/>
  <c r="J75" i="4"/>
  <c r="I76" i="4"/>
  <c r="J76" i="4" s="1"/>
  <c r="I77" i="4"/>
  <c r="J77" i="4" s="1"/>
  <c r="I78" i="4"/>
  <c r="J78" i="4" s="1"/>
  <c r="I79" i="4"/>
  <c r="J79" i="4"/>
  <c r="I80" i="4"/>
  <c r="J80" i="4"/>
  <c r="I81" i="4"/>
  <c r="J81" i="4"/>
  <c r="I82" i="4"/>
  <c r="J82" i="4" s="1"/>
  <c r="I83" i="4"/>
  <c r="J83" i="4"/>
  <c r="I84" i="4"/>
  <c r="J84" i="4" s="1"/>
  <c r="I85" i="4"/>
  <c r="J85" i="4" s="1"/>
  <c r="I86" i="4"/>
  <c r="J86" i="4" s="1"/>
  <c r="I87" i="4"/>
  <c r="J87" i="4"/>
  <c r="I88" i="4"/>
  <c r="J88" i="4"/>
  <c r="I89" i="4"/>
  <c r="J89" i="4"/>
  <c r="I90" i="4"/>
  <c r="J90" i="4" s="1"/>
  <c r="I91" i="4"/>
  <c r="J91" i="4" s="1"/>
  <c r="I92" i="4"/>
  <c r="J92" i="4" s="1"/>
  <c r="I93" i="4"/>
  <c r="J93" i="4" s="1"/>
  <c r="I94" i="4"/>
  <c r="J94" i="4" s="1"/>
  <c r="I95" i="4"/>
  <c r="J95" i="4"/>
  <c r="I96" i="4"/>
  <c r="J96" i="4"/>
  <c r="I97" i="4"/>
  <c r="J97" i="4"/>
  <c r="I98" i="4"/>
  <c r="J98" i="4" s="1"/>
  <c r="I99" i="4"/>
  <c r="J99" i="4" s="1"/>
  <c r="I100" i="4"/>
  <c r="J100" i="4" s="1"/>
  <c r="I101" i="4"/>
  <c r="J101" i="4" s="1"/>
  <c r="I102" i="4"/>
  <c r="J102" i="4" s="1"/>
  <c r="I103" i="4"/>
  <c r="J103" i="4"/>
  <c r="I104" i="4"/>
  <c r="J104" i="4"/>
  <c r="I105" i="4"/>
  <c r="J105" i="4"/>
  <c r="I106" i="4"/>
  <c r="J106" i="4" s="1"/>
  <c r="I107" i="4"/>
  <c r="J107" i="4"/>
  <c r="I108" i="4"/>
  <c r="J108" i="4" s="1"/>
  <c r="I109" i="4"/>
  <c r="J109" i="4" s="1"/>
  <c r="I110" i="4"/>
  <c r="J110" i="4" s="1"/>
  <c r="I111" i="4"/>
  <c r="J111" i="4"/>
  <c r="I112" i="4"/>
  <c r="J112" i="4"/>
  <c r="I113" i="4"/>
  <c r="J113" i="4"/>
  <c r="I114" i="4"/>
  <c r="J114" i="4" s="1"/>
  <c r="I115" i="4"/>
  <c r="J115" i="4"/>
  <c r="I116" i="4"/>
  <c r="J116" i="4" s="1"/>
  <c r="I117" i="4"/>
  <c r="J117" i="4" s="1"/>
  <c r="I118" i="4"/>
  <c r="J118" i="4" s="1"/>
  <c r="I119" i="4"/>
  <c r="J119" i="4"/>
  <c r="I120" i="4"/>
  <c r="J120" i="4"/>
  <c r="I121" i="4"/>
  <c r="J121" i="4"/>
  <c r="I122" i="4"/>
  <c r="J122" i="4" s="1"/>
  <c r="I123" i="4"/>
  <c r="J123" i="4" s="1"/>
  <c r="I124" i="4"/>
  <c r="J124" i="4" s="1"/>
  <c r="I125" i="4"/>
  <c r="J125" i="4" s="1"/>
  <c r="I126" i="4"/>
  <c r="J126" i="4" s="1"/>
  <c r="I127" i="4"/>
  <c r="J127" i="4"/>
  <c r="I128" i="4"/>
  <c r="J128" i="4"/>
  <c r="I129" i="4"/>
  <c r="J129" i="4"/>
  <c r="I130" i="4"/>
  <c r="J130" i="4" s="1"/>
  <c r="I131" i="4"/>
  <c r="J131" i="4" s="1"/>
  <c r="I132" i="4"/>
  <c r="J132" i="4" s="1"/>
  <c r="I133" i="4"/>
  <c r="J133" i="4" s="1"/>
  <c r="I134" i="4"/>
  <c r="J134" i="4" s="1"/>
  <c r="I135" i="4"/>
  <c r="J135" i="4"/>
  <c r="I136" i="4"/>
  <c r="J136" i="4"/>
  <c r="I137" i="4"/>
  <c r="J137" i="4"/>
  <c r="I138" i="4"/>
  <c r="J138" i="4" s="1"/>
  <c r="I139" i="4"/>
  <c r="J139" i="4"/>
  <c r="I140" i="4"/>
  <c r="J140" i="4" s="1"/>
  <c r="I141" i="4"/>
  <c r="J141" i="4" s="1"/>
  <c r="I142" i="4"/>
  <c r="J142" i="4" s="1"/>
  <c r="I143" i="4"/>
  <c r="J143" i="4"/>
  <c r="I144" i="4"/>
  <c r="J144" i="4"/>
  <c r="I145" i="4"/>
  <c r="J145" i="4"/>
  <c r="I146" i="4"/>
  <c r="J146" i="4" s="1"/>
  <c r="I147" i="4"/>
  <c r="J147" i="4"/>
  <c r="I148" i="4"/>
  <c r="J148" i="4" s="1"/>
  <c r="I149" i="4"/>
  <c r="J149" i="4" s="1"/>
  <c r="I150" i="4"/>
  <c r="J150" i="4" s="1"/>
  <c r="I151" i="4"/>
  <c r="J151" i="4"/>
  <c r="I152" i="4"/>
  <c r="J152" i="4"/>
  <c r="I153" i="4"/>
  <c r="J153" i="4"/>
  <c r="I154" i="4"/>
  <c r="J154" i="4" s="1"/>
  <c r="I155" i="4"/>
  <c r="J155" i="4" s="1"/>
  <c r="I156" i="4"/>
  <c r="J156" i="4" s="1"/>
  <c r="I157" i="4"/>
  <c r="J157" i="4" s="1"/>
  <c r="I158" i="4"/>
  <c r="J158" i="4" s="1"/>
  <c r="I159" i="4"/>
  <c r="J159" i="4"/>
  <c r="I160" i="4"/>
  <c r="J160" i="4"/>
  <c r="I161" i="4"/>
  <c r="J161" i="4"/>
  <c r="I162" i="4"/>
  <c r="J162" i="4" s="1"/>
  <c r="I163" i="4"/>
  <c r="J163" i="4" s="1"/>
  <c r="I164" i="4"/>
  <c r="J164" i="4" s="1"/>
  <c r="I165" i="4"/>
  <c r="J165" i="4" s="1"/>
  <c r="I166" i="4"/>
  <c r="J166" i="4" s="1"/>
  <c r="I167" i="4"/>
  <c r="J167" i="4"/>
  <c r="I168" i="4"/>
  <c r="J168" i="4"/>
  <c r="I169" i="4"/>
  <c r="J169" i="4"/>
  <c r="I170" i="4"/>
  <c r="J170" i="4" s="1"/>
  <c r="I171" i="4"/>
  <c r="J171" i="4"/>
  <c r="I172" i="4"/>
  <c r="J172" i="4" s="1"/>
  <c r="I173" i="4"/>
  <c r="J173" i="4" s="1"/>
  <c r="I174" i="4"/>
  <c r="J174" i="4" s="1"/>
  <c r="I175" i="4"/>
  <c r="J175" i="4"/>
  <c r="I176" i="4"/>
  <c r="J176" i="4"/>
  <c r="I177" i="4"/>
  <c r="J177" i="4"/>
  <c r="I178" i="4"/>
  <c r="J178" i="4" s="1"/>
  <c r="I179" i="4"/>
  <c r="J179" i="4"/>
  <c r="I180" i="4"/>
  <c r="J180" i="4" s="1"/>
  <c r="I181" i="4"/>
  <c r="J181" i="4" s="1"/>
  <c r="I182" i="4"/>
  <c r="J182" i="4" s="1"/>
  <c r="I183" i="4"/>
  <c r="J183" i="4"/>
  <c r="I184" i="4"/>
  <c r="J184" i="4"/>
  <c r="I185" i="4"/>
  <c r="J185" i="4"/>
  <c r="I186" i="4"/>
  <c r="J186" i="4" s="1"/>
  <c r="I187" i="4"/>
  <c r="J187" i="4" s="1"/>
  <c r="I188" i="4"/>
  <c r="J188" i="4" s="1"/>
  <c r="I189" i="4"/>
  <c r="J189" i="4" s="1"/>
  <c r="I190" i="4"/>
  <c r="J190" i="4" s="1"/>
  <c r="I191" i="4"/>
  <c r="J191" i="4"/>
  <c r="I192" i="4"/>
  <c r="J192" i="4"/>
  <c r="I193" i="4"/>
  <c r="J193" i="4"/>
  <c r="I194" i="4"/>
  <c r="J194" i="4" s="1"/>
  <c r="I195" i="4"/>
  <c r="J195" i="4" s="1"/>
  <c r="I196" i="4"/>
  <c r="J196" i="4" s="1"/>
  <c r="I197" i="4"/>
  <c r="J197" i="4" s="1"/>
  <c r="I198" i="4"/>
  <c r="J198" i="4" s="1"/>
  <c r="I199" i="4"/>
  <c r="J199" i="4"/>
  <c r="I200" i="4"/>
  <c r="J200" i="4"/>
  <c r="I201" i="4"/>
  <c r="J201" i="4"/>
  <c r="I202" i="4"/>
  <c r="J202" i="4" s="1"/>
  <c r="I203" i="4"/>
  <c r="J203" i="4"/>
  <c r="I204" i="4"/>
  <c r="J204" i="4" s="1"/>
  <c r="I205" i="4"/>
  <c r="J205" i="4" s="1"/>
  <c r="I206" i="4"/>
  <c r="J206" i="4" s="1"/>
  <c r="I207" i="4"/>
  <c r="J207" i="4"/>
  <c r="I208" i="4"/>
  <c r="J208" i="4"/>
  <c r="I209" i="4"/>
  <c r="J209" i="4"/>
  <c r="I210" i="4"/>
  <c r="J210" i="4" s="1"/>
  <c r="I211" i="4"/>
  <c r="J211" i="4"/>
  <c r="I212" i="4"/>
  <c r="J212" i="4" s="1"/>
  <c r="I213" i="4"/>
  <c r="J213" i="4" s="1"/>
  <c r="I214" i="4"/>
  <c r="J214" i="4" s="1"/>
  <c r="I215" i="4"/>
  <c r="J215" i="4"/>
  <c r="I216" i="4"/>
  <c r="J216" i="4" s="1"/>
  <c r="I217" i="4"/>
  <c r="J217" i="4"/>
  <c r="I218" i="4"/>
  <c r="J218" i="4" s="1"/>
  <c r="I219" i="4"/>
  <c r="J219" i="4" s="1"/>
  <c r="I220" i="4"/>
  <c r="J220" i="4" s="1"/>
  <c r="I221" i="4"/>
  <c r="J221" i="4" s="1"/>
  <c r="I222" i="4"/>
  <c r="J222" i="4" s="1"/>
  <c r="I223" i="4"/>
  <c r="J223" i="4"/>
  <c r="I224" i="4"/>
  <c r="J224" i="4" s="1"/>
  <c r="I225" i="4"/>
  <c r="J225" i="4"/>
  <c r="I226" i="4"/>
  <c r="J226" i="4" s="1"/>
  <c r="I227" i="4"/>
  <c r="J227" i="4" s="1"/>
  <c r="I228" i="4"/>
  <c r="J228" i="4" s="1"/>
  <c r="I229" i="4"/>
  <c r="J229" i="4" s="1"/>
  <c r="I230" i="4"/>
  <c r="J230" i="4" s="1"/>
  <c r="I231" i="4"/>
  <c r="J231" i="4"/>
  <c r="I232" i="4"/>
  <c r="J232" i="4" s="1"/>
  <c r="I233" i="4"/>
  <c r="J233" i="4" s="1"/>
  <c r="I234" i="4"/>
  <c r="J234" i="4" s="1"/>
  <c r="I235" i="4"/>
  <c r="J235" i="4" s="1"/>
  <c r="I236" i="4"/>
  <c r="J236" i="4" s="1"/>
  <c r="I237" i="4"/>
  <c r="J237" i="4" s="1"/>
  <c r="I238" i="4"/>
  <c r="J238" i="4" s="1"/>
  <c r="I239" i="4"/>
  <c r="J239" i="4"/>
  <c r="I240" i="4"/>
  <c r="J240" i="4"/>
  <c r="I241" i="4"/>
  <c r="J241" i="4"/>
  <c r="I242" i="4"/>
  <c r="J242" i="4" s="1"/>
  <c r="I243" i="4"/>
  <c r="J243" i="4"/>
  <c r="I244" i="4"/>
  <c r="J244" i="4" s="1"/>
  <c r="I245" i="4"/>
  <c r="J245" i="4" s="1"/>
  <c r="I246" i="4"/>
  <c r="J246" i="4" s="1"/>
  <c r="I247" i="4"/>
  <c r="J247" i="4" s="1"/>
  <c r="I248" i="4"/>
  <c r="J248" i="4"/>
  <c r="I249" i="4"/>
  <c r="J249" i="4"/>
  <c r="I250" i="4"/>
  <c r="J250" i="4" s="1"/>
  <c r="I251" i="4"/>
  <c r="J251" i="4" s="1"/>
  <c r="I252" i="4"/>
  <c r="J252" i="4" s="1"/>
  <c r="I253" i="4"/>
  <c r="J253" i="4" s="1"/>
  <c r="I254" i="4"/>
  <c r="J254" i="4" s="1"/>
  <c r="I255" i="4"/>
  <c r="J255" i="4"/>
  <c r="I256" i="4"/>
  <c r="J256" i="4"/>
  <c r="I257" i="4"/>
  <c r="J257" i="4" s="1"/>
  <c r="I258" i="4"/>
  <c r="J258" i="4" s="1"/>
  <c r="I259" i="4"/>
  <c r="J259" i="4" s="1"/>
  <c r="I260" i="4"/>
  <c r="J260" i="4" s="1"/>
  <c r="I261" i="4"/>
  <c r="J261" i="4" s="1"/>
  <c r="I262" i="4"/>
  <c r="J262" i="4" s="1"/>
  <c r="I263" i="4"/>
  <c r="J263" i="4"/>
  <c r="I264" i="4"/>
  <c r="J264" i="4"/>
  <c r="I265" i="4"/>
  <c r="J265" i="4" s="1"/>
  <c r="I266" i="4"/>
  <c r="J266" i="4" s="1"/>
  <c r="I267" i="4"/>
  <c r="J267" i="4" s="1"/>
  <c r="I268" i="4"/>
  <c r="J268" i="4" s="1"/>
  <c r="I269" i="4"/>
  <c r="J269" i="4" s="1"/>
  <c r="I270" i="4"/>
  <c r="J270" i="4" s="1"/>
  <c r="I271" i="4"/>
  <c r="J271" i="4" s="1"/>
  <c r="I272" i="4"/>
  <c r="J272" i="4"/>
  <c r="I273" i="4"/>
  <c r="J273" i="4"/>
  <c r="I274" i="4"/>
  <c r="J274" i="4" s="1"/>
  <c r="I275" i="4"/>
  <c r="J275" i="4" s="1"/>
  <c r="I276" i="4"/>
  <c r="J276" i="4" s="1"/>
  <c r="I277" i="4"/>
  <c r="J277" i="4" s="1"/>
  <c r="I278" i="4"/>
  <c r="J278" i="4" s="1"/>
  <c r="I279" i="4"/>
  <c r="J279" i="4"/>
  <c r="I280" i="4"/>
  <c r="J280" i="4"/>
  <c r="I281" i="4"/>
  <c r="J281" i="4"/>
  <c r="I282" i="4"/>
  <c r="J282" i="4" s="1"/>
  <c r="I283" i="4"/>
  <c r="J283" i="4" s="1"/>
  <c r="I284" i="4"/>
  <c r="J284" i="4" s="1"/>
  <c r="I285" i="4"/>
  <c r="J285" i="4" s="1"/>
  <c r="I286" i="4"/>
  <c r="J286" i="4" s="1"/>
  <c r="I287" i="4"/>
  <c r="J287" i="4" s="1"/>
  <c r="I288" i="4"/>
  <c r="J288" i="4" s="1"/>
  <c r="I289" i="4"/>
  <c r="J289" i="4" s="1"/>
  <c r="I290" i="4"/>
  <c r="J290" i="4" s="1"/>
  <c r="I291" i="4"/>
  <c r="J291" i="4" s="1"/>
  <c r="I292" i="4"/>
  <c r="J292" i="4" s="1"/>
  <c r="I293" i="4"/>
  <c r="J293" i="4" s="1"/>
  <c r="I294" i="4"/>
  <c r="J294" i="4" s="1"/>
  <c r="I295" i="4"/>
  <c r="J295" i="4"/>
  <c r="I296" i="4"/>
  <c r="J296" i="4"/>
  <c r="I297" i="4"/>
  <c r="J297" i="4"/>
  <c r="I298" i="4"/>
  <c r="J298" i="4" s="1"/>
  <c r="I299" i="4"/>
  <c r="J299" i="4" s="1"/>
  <c r="I300" i="4"/>
  <c r="J300" i="4" s="1"/>
  <c r="I301" i="4"/>
  <c r="J301" i="4" s="1"/>
  <c r="I302" i="4"/>
  <c r="J302" i="4" s="1"/>
  <c r="I303" i="4"/>
  <c r="J303" i="4"/>
  <c r="I304" i="4"/>
  <c r="J304" i="4" s="1"/>
  <c r="I305" i="4"/>
  <c r="J305" i="4"/>
  <c r="I306" i="4"/>
  <c r="J306" i="4" s="1"/>
  <c r="I307" i="4"/>
  <c r="J307" i="4" s="1"/>
  <c r="I308" i="4"/>
  <c r="J308" i="4" s="1"/>
  <c r="I309" i="4"/>
  <c r="J309" i="4" s="1"/>
  <c r="I310" i="4"/>
  <c r="J310" i="4" s="1"/>
  <c r="I311" i="4"/>
  <c r="J311" i="4"/>
  <c r="I312" i="4"/>
  <c r="J312" i="4" s="1"/>
  <c r="I313" i="4"/>
  <c r="J313" i="4" s="1"/>
  <c r="I314" i="4"/>
  <c r="J314" i="4" s="1"/>
  <c r="I315" i="4"/>
  <c r="J315" i="4" s="1"/>
  <c r="I316" i="4"/>
  <c r="J316" i="4" s="1"/>
  <c r="I317" i="4"/>
  <c r="J317" i="4" s="1"/>
  <c r="I318" i="4"/>
  <c r="J318" i="4" s="1"/>
  <c r="I319" i="4"/>
  <c r="J319" i="4" s="1"/>
  <c r="I320" i="4"/>
  <c r="J320" i="4" s="1"/>
  <c r="I321" i="4"/>
  <c r="J321" i="4"/>
  <c r="I322" i="4"/>
  <c r="J322" i="4" s="1"/>
  <c r="I323" i="4"/>
  <c r="J323" i="4" s="1"/>
  <c r="I324" i="4"/>
  <c r="J324" i="4" s="1"/>
  <c r="I325" i="4"/>
  <c r="J325" i="4" s="1"/>
  <c r="I326" i="4"/>
  <c r="J326" i="4" s="1"/>
  <c r="I327" i="4"/>
  <c r="J327" i="4" s="1"/>
  <c r="I328" i="4"/>
  <c r="J328" i="4" s="1"/>
  <c r="I329" i="4"/>
  <c r="J329" i="4"/>
  <c r="I330" i="4"/>
  <c r="J330" i="4" s="1"/>
  <c r="I331" i="4"/>
  <c r="J331" i="4"/>
  <c r="I332" i="4"/>
  <c r="J332" i="4" s="1"/>
  <c r="I333" i="4"/>
  <c r="J333" i="4" s="1"/>
  <c r="I334" i="4"/>
  <c r="J334" i="4" s="1"/>
  <c r="I335" i="4"/>
  <c r="J335" i="4"/>
  <c r="I336" i="4"/>
  <c r="J336" i="4" s="1"/>
  <c r="I337" i="4"/>
  <c r="J337" i="4" s="1"/>
  <c r="I338" i="4"/>
  <c r="J338" i="4" s="1"/>
  <c r="I339" i="4"/>
  <c r="J339" i="4" s="1"/>
  <c r="I340" i="4"/>
  <c r="J340" i="4" s="1"/>
  <c r="I341" i="4"/>
  <c r="J341" i="4" s="1"/>
  <c r="I342" i="4"/>
  <c r="J342" i="4" s="1"/>
  <c r="I343" i="4"/>
  <c r="J343" i="4"/>
  <c r="I344" i="4"/>
  <c r="J344" i="4"/>
  <c r="I345" i="4"/>
  <c r="J345" i="4"/>
  <c r="I346" i="4"/>
  <c r="J346" i="4" s="1"/>
  <c r="I347" i="4"/>
  <c r="J347" i="4" s="1"/>
  <c r="I348" i="4"/>
  <c r="J348" i="4" s="1"/>
  <c r="I349" i="4"/>
  <c r="J349" i="4" s="1"/>
  <c r="I350" i="4"/>
  <c r="J350" i="4" s="1"/>
  <c r="I351" i="4"/>
  <c r="J351" i="4" s="1"/>
  <c r="I352" i="4"/>
  <c r="J352" i="4"/>
  <c r="I353" i="4"/>
  <c r="J353" i="4"/>
  <c r="I354" i="4"/>
  <c r="J354" i="4" s="1"/>
  <c r="I355" i="4"/>
  <c r="J355" i="4" s="1"/>
  <c r="I356" i="4"/>
  <c r="J356" i="4" s="1"/>
  <c r="I357" i="4"/>
  <c r="J357" i="4" s="1"/>
  <c r="I358" i="4"/>
  <c r="J358" i="4" s="1"/>
  <c r="I359" i="4"/>
  <c r="J359" i="4" s="1"/>
  <c r="I360" i="4"/>
  <c r="J360" i="4" s="1"/>
  <c r="I361" i="4"/>
  <c r="J361" i="4" s="1"/>
  <c r="I362" i="4"/>
  <c r="J362" i="4" s="1"/>
  <c r="I363" i="4"/>
  <c r="J363" i="4"/>
  <c r="I364" i="4"/>
  <c r="J364" i="4" s="1"/>
  <c r="I365" i="4"/>
  <c r="J365" i="4" s="1"/>
  <c r="I366" i="4"/>
  <c r="J366" i="4" s="1"/>
  <c r="I367" i="4"/>
  <c r="J367" i="4"/>
  <c r="I368" i="4"/>
  <c r="J368" i="4"/>
  <c r="I369" i="4"/>
  <c r="J369" i="4" s="1"/>
  <c r="I370" i="4"/>
  <c r="J370" i="4" s="1"/>
  <c r="I371" i="4"/>
  <c r="J371" i="4"/>
  <c r="I372" i="4"/>
  <c r="J372" i="4" s="1"/>
  <c r="I373" i="4"/>
  <c r="J373" i="4" s="1"/>
  <c r="I374" i="4"/>
  <c r="J374" i="4" s="1"/>
  <c r="I375" i="4"/>
  <c r="J375" i="4"/>
  <c r="I376" i="4"/>
  <c r="J376" i="4"/>
  <c r="I377" i="4"/>
  <c r="J377" i="4"/>
  <c r="I378" i="4"/>
  <c r="J378" i="4" s="1"/>
  <c r="I379" i="4"/>
  <c r="J379" i="4" s="1"/>
  <c r="I380" i="4"/>
  <c r="J380" i="4" s="1"/>
  <c r="I381" i="4"/>
  <c r="J381" i="4" s="1"/>
  <c r="I382" i="4"/>
  <c r="J382" i="4" s="1"/>
  <c r="I383" i="4"/>
  <c r="J383" i="4"/>
  <c r="I384" i="4"/>
  <c r="J384" i="4" s="1"/>
  <c r="I385" i="4"/>
  <c r="J385" i="4"/>
  <c r="I386" i="4"/>
  <c r="J386" i="4" s="1"/>
  <c r="I387" i="4"/>
  <c r="J387" i="4" s="1"/>
  <c r="I388" i="4"/>
  <c r="J388" i="4" s="1"/>
  <c r="I389" i="4"/>
  <c r="J389" i="4" s="1"/>
  <c r="I390" i="4"/>
  <c r="J390" i="4" s="1"/>
  <c r="I391" i="4"/>
  <c r="J391" i="4"/>
  <c r="I392" i="4"/>
  <c r="J392" i="4" s="1"/>
  <c r="I393" i="4"/>
  <c r="J393" i="4" s="1"/>
  <c r="I394" i="4"/>
  <c r="J394" i="4" s="1"/>
  <c r="I395" i="4"/>
  <c r="J395" i="4" s="1"/>
  <c r="I396" i="4"/>
  <c r="J396" i="4" s="1"/>
  <c r="I397" i="4"/>
  <c r="J397" i="4" s="1"/>
  <c r="I398" i="4"/>
  <c r="J398" i="4" s="1"/>
  <c r="I399" i="4"/>
  <c r="J399" i="4"/>
  <c r="I400" i="4"/>
  <c r="J400" i="4"/>
  <c r="I401" i="4"/>
  <c r="J401" i="4" s="1"/>
  <c r="I402" i="4"/>
  <c r="J402" i="4" s="1"/>
  <c r="I403" i="4"/>
  <c r="J403" i="4" s="1"/>
  <c r="I404" i="4"/>
  <c r="J404" i="4" s="1"/>
  <c r="I405" i="4"/>
  <c r="J405" i="4" s="1"/>
  <c r="I406" i="4"/>
  <c r="J406" i="4" s="1"/>
  <c r="I407" i="4"/>
  <c r="J407" i="4" s="1"/>
  <c r="I408" i="4"/>
  <c r="J408" i="4"/>
  <c r="I409" i="4"/>
  <c r="J409" i="4"/>
  <c r="I410" i="4"/>
  <c r="J410" i="4" s="1"/>
  <c r="I411" i="4"/>
  <c r="J411" i="4" s="1"/>
  <c r="I412" i="4"/>
  <c r="J412" i="4" s="1"/>
  <c r="I413" i="4"/>
  <c r="J413" i="4" s="1"/>
  <c r="I414" i="4"/>
  <c r="J414" i="4" s="1"/>
  <c r="I415" i="4"/>
  <c r="J415" i="4" s="1"/>
  <c r="I416" i="4"/>
  <c r="J416" i="4" s="1"/>
  <c r="I417" i="4"/>
  <c r="J417" i="4" s="1"/>
  <c r="I418" i="4"/>
  <c r="J418" i="4" s="1"/>
  <c r="I419" i="4"/>
  <c r="J419" i="4" s="1"/>
  <c r="I420" i="4"/>
  <c r="J420" i="4" s="1"/>
  <c r="I421" i="4"/>
  <c r="J421" i="4" s="1"/>
  <c r="I422" i="4"/>
  <c r="J422" i="4" s="1"/>
  <c r="I423" i="4"/>
  <c r="J423" i="4" s="1"/>
  <c r="I424" i="4"/>
  <c r="J424" i="4" s="1"/>
  <c r="I425" i="4"/>
  <c r="J425" i="4"/>
  <c r="I426" i="4"/>
  <c r="J426" i="4" s="1"/>
  <c r="I427" i="4"/>
  <c r="J427" i="4" s="1"/>
  <c r="I428" i="4"/>
  <c r="J428" i="4" s="1"/>
  <c r="I429" i="4"/>
  <c r="J429" i="4" s="1"/>
  <c r="I430" i="4"/>
  <c r="J430" i="4" s="1"/>
  <c r="I431" i="4"/>
  <c r="J431" i="4"/>
  <c r="I432" i="4"/>
  <c r="J432" i="4"/>
  <c r="I433" i="4"/>
  <c r="J433" i="4" s="1"/>
  <c r="I434" i="4"/>
  <c r="J434" i="4" s="1"/>
  <c r="I435" i="4"/>
  <c r="J435" i="4" s="1"/>
  <c r="I436" i="4"/>
  <c r="J436" i="4" s="1"/>
  <c r="I437" i="4"/>
  <c r="J437" i="4" s="1"/>
  <c r="I438" i="4"/>
  <c r="J438" i="4" s="1"/>
  <c r="I439" i="4"/>
  <c r="J439" i="4" s="1"/>
  <c r="I440" i="4"/>
  <c r="J440" i="4" s="1"/>
  <c r="I441" i="4"/>
  <c r="J441" i="4"/>
  <c r="I442" i="4"/>
  <c r="J442" i="4" s="1"/>
  <c r="I443" i="4"/>
  <c r="J443" i="4" s="1"/>
  <c r="I444" i="4"/>
  <c r="J444" i="4" s="1"/>
  <c r="I445" i="4"/>
  <c r="J445" i="4" s="1"/>
  <c r="I446" i="4"/>
  <c r="J446" i="4" s="1"/>
  <c r="I447" i="4"/>
  <c r="J447" i="4" s="1"/>
  <c r="I448" i="4"/>
  <c r="J448" i="4"/>
  <c r="I449" i="4"/>
  <c r="J449" i="4"/>
  <c r="I450" i="4"/>
  <c r="J450" i="4" s="1"/>
  <c r="I451" i="4"/>
  <c r="J451" i="4" s="1"/>
  <c r="I452" i="4"/>
  <c r="J452" i="4" s="1"/>
  <c r="I453" i="4"/>
  <c r="J453" i="4" s="1"/>
  <c r="I454" i="4"/>
  <c r="J454" i="4" s="1"/>
  <c r="I455" i="4"/>
  <c r="J455" i="4"/>
  <c r="I456" i="4"/>
  <c r="J456" i="4"/>
  <c r="I457" i="4"/>
  <c r="J457" i="4"/>
  <c r="I458" i="4"/>
  <c r="J458" i="4" s="1"/>
  <c r="I459" i="4"/>
  <c r="J459" i="4" s="1"/>
  <c r="I460" i="4"/>
  <c r="J460" i="4" s="1"/>
  <c r="I461" i="4"/>
  <c r="J461" i="4" s="1"/>
  <c r="I462" i="4"/>
  <c r="J462" i="4" s="1"/>
  <c r="I463" i="4"/>
  <c r="J463" i="4"/>
  <c r="I464" i="4"/>
  <c r="J464" i="4" s="1"/>
  <c r="I465" i="4"/>
  <c r="J465" i="4" s="1"/>
  <c r="I466" i="4"/>
  <c r="J466" i="4" s="1"/>
  <c r="I467" i="4"/>
  <c r="J467" i="4"/>
  <c r="I468" i="4"/>
  <c r="J468" i="4" s="1"/>
  <c r="I469" i="4"/>
  <c r="J469" i="4" s="1"/>
  <c r="I470" i="4"/>
  <c r="J470" i="4" s="1"/>
  <c r="I471" i="4"/>
  <c r="J471" i="4"/>
  <c r="I472" i="4"/>
  <c r="J472" i="4"/>
  <c r="I473" i="4"/>
  <c r="J473" i="4"/>
  <c r="I474" i="4"/>
  <c r="J474" i="4" s="1"/>
  <c r="I475" i="4"/>
  <c r="J475" i="4" s="1"/>
  <c r="I476" i="4"/>
  <c r="J476" i="4" s="1"/>
  <c r="I477" i="4"/>
  <c r="J477" i="4" s="1"/>
  <c r="I478" i="4"/>
  <c r="J478" i="4" s="1"/>
  <c r="I479" i="4"/>
  <c r="J479" i="4"/>
  <c r="I480" i="4"/>
  <c r="J480" i="4"/>
  <c r="I481" i="4"/>
  <c r="J481" i="4"/>
  <c r="I482" i="4"/>
  <c r="J482" i="4" s="1"/>
  <c r="I483" i="4"/>
  <c r="J483" i="4" s="1"/>
  <c r="I484" i="4"/>
  <c r="J484" i="4" s="1"/>
  <c r="I485" i="4"/>
  <c r="J485" i="4" s="1"/>
  <c r="I486" i="4"/>
  <c r="J486" i="4" s="1"/>
  <c r="I487" i="4"/>
  <c r="J487" i="4" s="1"/>
  <c r="I488" i="4"/>
  <c r="J488" i="4" s="1"/>
  <c r="I489" i="4"/>
  <c r="J489" i="4" s="1"/>
  <c r="I490" i="4"/>
  <c r="J490" i="4" s="1"/>
  <c r="I491" i="4"/>
  <c r="J491" i="4" s="1"/>
  <c r="I492" i="4"/>
  <c r="J492" i="4" s="1"/>
  <c r="I493" i="4"/>
  <c r="J493" i="4" s="1"/>
  <c r="I494" i="4"/>
  <c r="J494" i="4" s="1"/>
  <c r="I495" i="4"/>
  <c r="J495" i="4" s="1"/>
  <c r="I496" i="4"/>
  <c r="J496" i="4" s="1"/>
  <c r="I497" i="4"/>
  <c r="J497" i="4" s="1"/>
  <c r="I498" i="4"/>
  <c r="J498" i="4" s="1"/>
  <c r="I499" i="4"/>
  <c r="J499" i="4" s="1"/>
  <c r="I500" i="4"/>
  <c r="J500" i="4" s="1"/>
  <c r="I501" i="4"/>
  <c r="J501" i="4" s="1"/>
  <c r="I502" i="4"/>
  <c r="J502" i="4" s="1"/>
  <c r="I503" i="4"/>
  <c r="J503" i="4"/>
  <c r="I504" i="4"/>
  <c r="J504" i="4"/>
  <c r="I505" i="4"/>
  <c r="J505" i="4" s="1"/>
  <c r="I506" i="4"/>
  <c r="J506" i="4" s="1"/>
  <c r="I507" i="4"/>
  <c r="J507" i="4" s="1"/>
  <c r="I508" i="4"/>
  <c r="J508" i="4" s="1"/>
  <c r="I509" i="4"/>
  <c r="J509" i="4" s="1"/>
  <c r="I510" i="4"/>
  <c r="J510" i="4" s="1"/>
  <c r="I511" i="4"/>
  <c r="J511" i="4" s="1"/>
  <c r="I512" i="4"/>
  <c r="J512" i="4" s="1"/>
  <c r="I513" i="4"/>
  <c r="J513" i="4" s="1"/>
  <c r="I514" i="4"/>
  <c r="J514" i="4" s="1"/>
  <c r="I515" i="4"/>
  <c r="J515" i="4" s="1"/>
  <c r="I516" i="4"/>
  <c r="J516" i="4" s="1"/>
  <c r="I517" i="4"/>
  <c r="J517" i="4" s="1"/>
  <c r="I518" i="4"/>
  <c r="J518" i="4" s="1"/>
  <c r="I519" i="4"/>
  <c r="J519" i="4" s="1"/>
  <c r="I520" i="4"/>
  <c r="J520" i="4" s="1"/>
  <c r="I521" i="4"/>
  <c r="J521" i="4" s="1"/>
  <c r="I522" i="4"/>
  <c r="J522" i="4" s="1"/>
  <c r="I523" i="4"/>
  <c r="J523" i="4" s="1"/>
  <c r="I524" i="4"/>
  <c r="J524" i="4" s="1"/>
  <c r="I525" i="4"/>
  <c r="J525" i="4" s="1"/>
  <c r="I526" i="4"/>
  <c r="J526" i="4" s="1"/>
  <c r="I527" i="4"/>
  <c r="J527" i="4" s="1"/>
  <c r="I528" i="4"/>
  <c r="J528" i="4"/>
  <c r="I529" i="4"/>
  <c r="J529" i="4"/>
  <c r="I530" i="4"/>
  <c r="J530" i="4" s="1"/>
  <c r="I531" i="4"/>
  <c r="J531" i="4" s="1"/>
  <c r="I532" i="4"/>
  <c r="J532" i="4" s="1"/>
  <c r="I533" i="4"/>
  <c r="J533" i="4" s="1"/>
  <c r="I534" i="4"/>
  <c r="J534" i="4" s="1"/>
  <c r="I535" i="4"/>
  <c r="J535" i="4" s="1"/>
  <c r="I536" i="4"/>
  <c r="J536" i="4" s="1"/>
  <c r="I537" i="4"/>
  <c r="J537" i="4" s="1"/>
  <c r="I538" i="4"/>
  <c r="J538" i="4" s="1"/>
  <c r="I539" i="4"/>
  <c r="J539" i="4" s="1"/>
  <c r="I540" i="4"/>
  <c r="J540" i="4" s="1"/>
  <c r="I541" i="4"/>
  <c r="J541" i="4" s="1"/>
  <c r="I542" i="4"/>
  <c r="J542" i="4" s="1"/>
  <c r="I543" i="4"/>
  <c r="J543" i="4" s="1"/>
  <c r="I544" i="4"/>
  <c r="J544" i="4"/>
  <c r="I545" i="4"/>
  <c r="J545" i="4"/>
  <c r="I546" i="4"/>
  <c r="J546" i="4" s="1"/>
  <c r="I547" i="4"/>
  <c r="J547" i="4" s="1"/>
  <c r="I548" i="4"/>
  <c r="J548" i="4" s="1"/>
  <c r="I549" i="4"/>
  <c r="J549" i="4" s="1"/>
  <c r="I550" i="4"/>
  <c r="J550" i="4" s="1"/>
  <c r="I551" i="4"/>
  <c r="J551" i="4"/>
  <c r="I552" i="4"/>
  <c r="J552" i="4"/>
  <c r="I553" i="4"/>
  <c r="J553" i="4"/>
  <c r="I554" i="4"/>
  <c r="J554" i="4" s="1"/>
  <c r="I555" i="4"/>
  <c r="J555" i="4" s="1"/>
  <c r="I556" i="4"/>
  <c r="J556" i="4" s="1"/>
  <c r="I557" i="4"/>
  <c r="J557" i="4" s="1"/>
  <c r="I558" i="4"/>
  <c r="J558" i="4" s="1"/>
  <c r="I559" i="4"/>
  <c r="J559" i="4"/>
  <c r="I560" i="4"/>
  <c r="J560" i="4"/>
  <c r="I561" i="4"/>
  <c r="J561" i="4"/>
  <c r="I562" i="4"/>
  <c r="J562" i="4" s="1"/>
  <c r="I563" i="4"/>
  <c r="J563" i="4"/>
  <c r="I564" i="4"/>
  <c r="J564" i="4" s="1"/>
  <c r="I565" i="4"/>
  <c r="J565" i="4" s="1"/>
  <c r="I566" i="4"/>
  <c r="J566" i="4" s="1"/>
  <c r="I567" i="4"/>
  <c r="J567" i="4"/>
  <c r="I568" i="4"/>
  <c r="J568" i="4"/>
  <c r="I569" i="4"/>
  <c r="J569" i="4"/>
  <c r="I570" i="4"/>
  <c r="J570" i="4" s="1"/>
  <c r="I571" i="4"/>
  <c r="J571" i="4" s="1"/>
  <c r="I572" i="4"/>
  <c r="J572" i="4" s="1"/>
  <c r="I573" i="4"/>
  <c r="J573" i="4" s="1"/>
  <c r="I574" i="4"/>
  <c r="J574" i="4" s="1"/>
  <c r="I575" i="4"/>
  <c r="J575" i="4"/>
  <c r="I576" i="4"/>
  <c r="J576" i="4"/>
  <c r="I577" i="4"/>
  <c r="J577" i="4"/>
  <c r="I578" i="4"/>
  <c r="J578" i="4" s="1"/>
  <c r="I579" i="4"/>
  <c r="J579" i="4" s="1"/>
  <c r="I580" i="4"/>
  <c r="J580" i="4" s="1"/>
  <c r="I581" i="4"/>
  <c r="J581" i="4" s="1"/>
  <c r="I582" i="4"/>
  <c r="J582" i="4" s="1"/>
  <c r="I583" i="4"/>
  <c r="J583" i="4"/>
  <c r="I584" i="4"/>
  <c r="J584" i="4" s="1"/>
  <c r="I585" i="4"/>
  <c r="J585" i="4" s="1"/>
  <c r="I586" i="4"/>
  <c r="J586" i="4" s="1"/>
  <c r="I587" i="4"/>
  <c r="J587" i="4" s="1"/>
  <c r="I588" i="4"/>
  <c r="J588" i="4" s="1"/>
  <c r="I589" i="4"/>
  <c r="J589" i="4" s="1"/>
  <c r="I590" i="4"/>
  <c r="J590" i="4" s="1"/>
  <c r="I591" i="4"/>
  <c r="J591" i="4"/>
  <c r="I592" i="4"/>
  <c r="J592" i="4"/>
  <c r="I593" i="4"/>
  <c r="J593" i="4" s="1"/>
  <c r="I594" i="4"/>
  <c r="J594" i="4" s="1"/>
  <c r="I595" i="4"/>
  <c r="J595" i="4" s="1"/>
  <c r="I596" i="4"/>
  <c r="J596" i="4" s="1"/>
  <c r="I597" i="4"/>
  <c r="J597" i="4" s="1"/>
  <c r="I598" i="4"/>
  <c r="J598" i="4" s="1"/>
  <c r="I599" i="4"/>
  <c r="J599" i="4"/>
  <c r="I600" i="4"/>
  <c r="J600" i="4" s="1"/>
  <c r="I601" i="4"/>
  <c r="J601" i="4" s="1"/>
  <c r="I602" i="4"/>
  <c r="J602" i="4" s="1"/>
  <c r="I603" i="4"/>
  <c r="J603" i="4" s="1"/>
  <c r="I604" i="4"/>
  <c r="J604" i="4" s="1"/>
  <c r="I605" i="4"/>
  <c r="J605" i="4" s="1"/>
  <c r="I606" i="4"/>
  <c r="J606" i="4" s="1"/>
  <c r="I607" i="4"/>
  <c r="J607" i="4"/>
  <c r="I608" i="4"/>
  <c r="J608" i="4" s="1"/>
  <c r="I609" i="4"/>
  <c r="J609" i="4" s="1"/>
  <c r="I610" i="4"/>
  <c r="J610" i="4" s="1"/>
  <c r="I611" i="4"/>
  <c r="J611" i="4" s="1"/>
  <c r="I612" i="4"/>
  <c r="J612" i="4" s="1"/>
  <c r="I613" i="4"/>
  <c r="J613" i="4" s="1"/>
  <c r="I614" i="4"/>
  <c r="J614" i="4" s="1"/>
  <c r="I615" i="4"/>
  <c r="J615" i="4" s="1"/>
  <c r="I616" i="4"/>
  <c r="J616" i="4" s="1"/>
  <c r="I617" i="4"/>
  <c r="J617" i="4" s="1"/>
  <c r="I618" i="4"/>
  <c r="J618" i="4" s="1"/>
  <c r="I619" i="4"/>
  <c r="J619" i="4" s="1"/>
  <c r="I620" i="4"/>
  <c r="J620" i="4" s="1"/>
  <c r="I621" i="4"/>
  <c r="J621" i="4" s="1"/>
  <c r="I622" i="4"/>
  <c r="J622" i="4" s="1"/>
  <c r="I623" i="4"/>
  <c r="J623" i="4" s="1"/>
  <c r="I624" i="4"/>
  <c r="J624" i="4" s="1"/>
  <c r="I625" i="4"/>
  <c r="J625" i="4"/>
  <c r="I626" i="4"/>
  <c r="J626" i="4" s="1"/>
  <c r="I627" i="4"/>
  <c r="J627" i="4" s="1"/>
  <c r="I628" i="4"/>
  <c r="J628" i="4" s="1"/>
  <c r="I629" i="4"/>
  <c r="J629" i="4" s="1"/>
  <c r="I630" i="4"/>
  <c r="J630" i="4" s="1"/>
  <c r="I631" i="4"/>
  <c r="J631" i="4" s="1"/>
  <c r="I632" i="4"/>
  <c r="J632" i="4" s="1"/>
  <c r="I633" i="4"/>
  <c r="J633" i="4" s="1"/>
  <c r="I634" i="4"/>
  <c r="J634" i="4" s="1"/>
  <c r="I635" i="4"/>
  <c r="J635" i="4" s="1"/>
  <c r="I636" i="4"/>
  <c r="J636" i="4" s="1"/>
  <c r="I637" i="4"/>
  <c r="J637" i="4" s="1"/>
  <c r="I638" i="4"/>
  <c r="J638" i="4" s="1"/>
  <c r="I639" i="4"/>
  <c r="J639" i="4" s="1"/>
  <c r="I640" i="4"/>
  <c r="J640" i="4" s="1"/>
  <c r="I641" i="4"/>
  <c r="J641" i="4"/>
  <c r="I642" i="4"/>
  <c r="J642" i="4" s="1"/>
  <c r="I643" i="4"/>
  <c r="J643" i="4" s="1"/>
  <c r="I644" i="4"/>
  <c r="J644" i="4" s="1"/>
  <c r="I645" i="4"/>
  <c r="J645" i="4" s="1"/>
  <c r="I646" i="4"/>
  <c r="J646" i="4" s="1"/>
  <c r="I647" i="4"/>
  <c r="J647" i="4"/>
  <c r="I648" i="4"/>
  <c r="J648" i="4"/>
  <c r="I649" i="4"/>
  <c r="J649" i="4"/>
  <c r="I650" i="4"/>
  <c r="J650" i="4" s="1"/>
  <c r="I651" i="4"/>
  <c r="J651" i="4" s="1"/>
  <c r="I652" i="4"/>
  <c r="J652" i="4" s="1"/>
  <c r="I653" i="4"/>
  <c r="J653" i="4" s="1"/>
  <c r="I654" i="4"/>
  <c r="J654" i="4" s="1"/>
  <c r="I655" i="4"/>
  <c r="J655" i="4"/>
  <c r="I656" i="4"/>
  <c r="J656" i="4"/>
  <c r="I657" i="4"/>
  <c r="J657" i="4"/>
  <c r="I658" i="4"/>
  <c r="J658" i="4" s="1"/>
  <c r="I659" i="4"/>
  <c r="J659" i="4"/>
  <c r="I660" i="4"/>
  <c r="J660" i="4" s="1"/>
  <c r="I661" i="4"/>
  <c r="J661" i="4" s="1"/>
  <c r="I662" i="4"/>
  <c r="J662" i="4" s="1"/>
  <c r="I663" i="4"/>
  <c r="J663" i="4" s="1"/>
  <c r="I664" i="4"/>
  <c r="J664" i="4"/>
  <c r="I665" i="4"/>
  <c r="J665" i="4"/>
  <c r="I666" i="4"/>
  <c r="J666" i="4" s="1"/>
  <c r="I667" i="4"/>
  <c r="J667" i="4" s="1"/>
  <c r="I668" i="4"/>
  <c r="J668" i="4" s="1"/>
  <c r="I669" i="4"/>
  <c r="J669" i="4" s="1"/>
  <c r="I670" i="4"/>
  <c r="J670" i="4" s="1"/>
  <c r="I671" i="4"/>
  <c r="J671" i="4"/>
  <c r="I672" i="4"/>
  <c r="J672" i="4"/>
  <c r="I673" i="4"/>
  <c r="J673" i="4"/>
  <c r="I674" i="4"/>
  <c r="J674" i="4" s="1"/>
  <c r="I675" i="4"/>
  <c r="J675" i="4" s="1"/>
  <c r="I676" i="4"/>
  <c r="J676" i="4" s="1"/>
  <c r="I677" i="4"/>
  <c r="J677" i="4" s="1"/>
  <c r="I678" i="4"/>
  <c r="J678" i="4" s="1"/>
  <c r="I679" i="4"/>
  <c r="J679" i="4"/>
  <c r="I680" i="4"/>
  <c r="J680" i="4" s="1"/>
  <c r="I681" i="4"/>
  <c r="J681" i="4" s="1"/>
  <c r="I682" i="4"/>
  <c r="J682" i="4" s="1"/>
  <c r="I683" i="4"/>
  <c r="J683" i="4" s="1"/>
  <c r="I684" i="4"/>
  <c r="J684" i="4" s="1"/>
  <c r="I685" i="4"/>
  <c r="J685" i="4" s="1"/>
  <c r="I686" i="4"/>
  <c r="J686" i="4" s="1"/>
  <c r="I687" i="4"/>
  <c r="J687" i="4" s="1"/>
  <c r="I688" i="4"/>
  <c r="J688" i="4" s="1"/>
  <c r="I689" i="4"/>
  <c r="J689" i="4" s="1"/>
  <c r="I690" i="4"/>
  <c r="J690" i="4" s="1"/>
  <c r="I691" i="4"/>
  <c r="J691" i="4" s="1"/>
  <c r="I692" i="4"/>
  <c r="J692" i="4" s="1"/>
  <c r="I693" i="4"/>
  <c r="J693" i="4" s="1"/>
  <c r="I694" i="4"/>
  <c r="J694" i="4" s="1"/>
  <c r="I695" i="4"/>
  <c r="J695" i="4"/>
  <c r="I696" i="4"/>
  <c r="J696" i="4" s="1"/>
  <c r="I697" i="4"/>
  <c r="J697" i="4" s="1"/>
  <c r="I698" i="4"/>
  <c r="J698" i="4" s="1"/>
  <c r="I699" i="4"/>
  <c r="J699" i="4" s="1"/>
  <c r="I700" i="4"/>
  <c r="J700" i="4" s="1"/>
  <c r="I701" i="4"/>
  <c r="J701" i="4" s="1"/>
  <c r="I702" i="4"/>
  <c r="J702" i="4" s="1"/>
  <c r="I703" i="4"/>
  <c r="J703" i="4"/>
  <c r="I704" i="4"/>
  <c r="J704" i="4" s="1"/>
  <c r="I705" i="4"/>
  <c r="J705" i="4" s="1"/>
  <c r="I706" i="4"/>
  <c r="J706" i="4" s="1"/>
  <c r="I707" i="4"/>
  <c r="J707" i="4"/>
  <c r="I708" i="4"/>
  <c r="J708" i="4" s="1"/>
  <c r="I709" i="4"/>
  <c r="J709" i="4" s="1"/>
  <c r="I710" i="4"/>
  <c r="J710" i="4" s="1"/>
  <c r="I711" i="4"/>
  <c r="J711" i="4" s="1"/>
  <c r="I712" i="4"/>
  <c r="J712" i="4" s="1"/>
  <c r="I713" i="4"/>
  <c r="J713" i="4" s="1"/>
  <c r="I714" i="4"/>
  <c r="J714" i="4" s="1"/>
  <c r="I715" i="4"/>
  <c r="J715" i="4" s="1"/>
  <c r="I716" i="4"/>
  <c r="J716" i="4" s="1"/>
  <c r="I717" i="4"/>
  <c r="J717" i="4" s="1"/>
  <c r="I718" i="4"/>
  <c r="J718" i="4" s="1"/>
  <c r="I719" i="4"/>
  <c r="J719" i="4" s="1"/>
  <c r="I720" i="4"/>
  <c r="J720" i="4" s="1"/>
  <c r="I721" i="4"/>
  <c r="J721" i="4"/>
  <c r="I722" i="4"/>
  <c r="J722" i="4" s="1"/>
  <c r="I723" i="4"/>
  <c r="J723" i="4" s="1"/>
  <c r="I724" i="4"/>
  <c r="J724" i="4" s="1"/>
  <c r="I725" i="4"/>
  <c r="J725" i="4" s="1"/>
  <c r="I726" i="4"/>
  <c r="J726" i="4" s="1"/>
  <c r="I727" i="4"/>
  <c r="J727" i="4"/>
  <c r="I728" i="4"/>
  <c r="J728" i="4" s="1"/>
  <c r="I729" i="4"/>
  <c r="J729" i="4" s="1"/>
  <c r="I730" i="4"/>
  <c r="J730" i="4" s="1"/>
  <c r="I731" i="4"/>
  <c r="J731" i="4" s="1"/>
  <c r="I732" i="4"/>
  <c r="J732" i="4" s="1"/>
  <c r="I733" i="4"/>
  <c r="J733" i="4" s="1"/>
  <c r="M66" i="4" l="1"/>
  <c r="B66" i="4"/>
  <c r="B65" i="4"/>
  <c r="M65" i="4"/>
  <c r="I64" i="4"/>
  <c r="J64" i="4" s="1"/>
  <c r="I65" i="4"/>
  <c r="J65" i="4" s="1"/>
  <c r="M64" i="4" l="1"/>
  <c r="B64" i="4"/>
  <c r="B56" i="4"/>
  <c r="B57" i="4" s="1"/>
  <c r="B58" i="4" s="1"/>
  <c r="B59" i="4" s="1"/>
  <c r="B60" i="4" s="1"/>
  <c r="B61" i="4" s="1"/>
  <c r="B62" i="4" s="1"/>
  <c r="B63" i="4" s="1"/>
  <c r="M63" i="4"/>
  <c r="M62" i="4"/>
  <c r="M61" i="4"/>
  <c r="M60" i="4"/>
  <c r="M59" i="4"/>
  <c r="M58" i="4"/>
  <c r="M57" i="4"/>
  <c r="M56" i="4"/>
  <c r="I55" i="4"/>
  <c r="J55" i="4"/>
  <c r="I56" i="4"/>
  <c r="J56" i="4"/>
  <c r="I57" i="4"/>
  <c r="J57" i="4"/>
  <c r="I58" i="4"/>
  <c r="J58" i="4" s="1"/>
  <c r="I59" i="4"/>
  <c r="J59" i="4" s="1"/>
  <c r="I60" i="4"/>
  <c r="J60" i="4" s="1"/>
  <c r="I61" i="4"/>
  <c r="J61" i="4" s="1"/>
  <c r="I62" i="4"/>
  <c r="J62" i="4" s="1"/>
  <c r="I63" i="4"/>
  <c r="J63" i="4"/>
  <c r="G55" i="4"/>
  <c r="G56" i="4"/>
  <c r="G57" i="4"/>
  <c r="G58" i="4"/>
  <c r="G59" i="4"/>
  <c r="G60" i="4"/>
  <c r="G61" i="4"/>
  <c r="G62" i="4"/>
  <c r="G63" i="4"/>
  <c r="M55" i="4" l="1"/>
  <c r="B55" i="4"/>
  <c r="B48" i="4"/>
  <c r="B49" i="4" s="1"/>
  <c r="B50" i="4" s="1"/>
  <c r="B51" i="4" s="1"/>
  <c r="B52" i="4" s="1"/>
  <c r="B53" i="4" s="1"/>
  <c r="B54" i="4" s="1"/>
  <c r="M54" i="4"/>
  <c r="M53" i="4"/>
  <c r="M52" i="4"/>
  <c r="M51" i="4"/>
  <c r="M50" i="4"/>
  <c r="M49" i="4"/>
  <c r="M48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G48" i="4"/>
  <c r="G49" i="4"/>
  <c r="G50" i="4"/>
  <c r="G51" i="4"/>
  <c r="G52" i="4"/>
  <c r="G53" i="4"/>
  <c r="G54" i="4"/>
  <c r="G47" i="4"/>
  <c r="M47" i="4" l="1"/>
  <c r="B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I4" i="4"/>
  <c r="J4" i="4" s="1"/>
  <c r="I5" i="4"/>
  <c r="J5" i="4"/>
  <c r="I6" i="4"/>
  <c r="J6" i="4" s="1"/>
  <c r="I7" i="4"/>
  <c r="J7" i="4"/>
  <c r="I8" i="4"/>
  <c r="J8" i="4" s="1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 s="1"/>
  <c r="I44" i="4"/>
  <c r="J44" i="4"/>
  <c r="I45" i="4"/>
  <c r="J45" i="4"/>
  <c r="I46" i="4"/>
  <c r="J46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" i="4"/>
  <c r="L8" i="7" l="1"/>
  <c r="K3" i="7" l="1"/>
  <c r="K2" i="7" s="1"/>
  <c r="J3" i="7"/>
  <c r="J2" i="7" s="1"/>
  <c r="I3" i="7"/>
  <c r="I2" i="7" s="1"/>
  <c r="H3" i="7"/>
  <c r="H2" i="7" s="1"/>
  <c r="G3" i="7"/>
  <c r="G2" i="7" s="1"/>
  <c r="F3" i="7"/>
  <c r="F2" i="7" s="1"/>
  <c r="E3" i="7"/>
  <c r="E2" i="7" s="1"/>
  <c r="D3" i="7"/>
  <c r="C3" i="7"/>
  <c r="M39" i="7"/>
  <c r="N39" i="7" s="1"/>
  <c r="L13" i="7" l="1"/>
  <c r="M13" i="7" s="1"/>
  <c r="M44" i="7" l="1"/>
  <c r="N44" i="7" s="1"/>
  <c r="O44" i="7" s="1"/>
  <c r="N34" i="7"/>
  <c r="M8" i="7"/>
  <c r="M35" i="7"/>
  <c r="A18" i="7" l="1"/>
  <c r="A9" i="7"/>
  <c r="A10" i="7"/>
  <c r="A11" i="7"/>
  <c r="A12" i="7"/>
  <c r="A13" i="7"/>
  <c r="A14" i="7"/>
  <c r="A15" i="7"/>
  <c r="A16" i="7"/>
  <c r="A17" i="7"/>
  <c r="M43" i="7" l="1"/>
  <c r="M41" i="7"/>
  <c r="N41" i="7" s="1"/>
  <c r="O41" i="7" s="1"/>
  <c r="N35" i="7"/>
  <c r="O35" i="7" s="1"/>
  <c r="M36" i="7"/>
  <c r="M37" i="7"/>
  <c r="N37" i="7" s="1"/>
  <c r="O37" i="7" s="1"/>
  <c r="M38" i="7"/>
  <c r="N38" i="7" s="1"/>
  <c r="O38" i="7" s="1"/>
  <c r="O39" i="7"/>
  <c r="M40" i="7"/>
  <c r="N40" i="7" s="1"/>
  <c r="O40" i="7" s="1"/>
  <c r="M42" i="7"/>
  <c r="N42" i="7" s="1"/>
  <c r="O42" i="7" s="1"/>
  <c r="N36" i="7" l="1"/>
  <c r="O36" i="7" s="1"/>
  <c r="N43" i="7"/>
  <c r="O43" i="7" s="1"/>
  <c r="I3" i="4" l="1"/>
  <c r="J3" i="4" s="1"/>
  <c r="O34" i="7" l="1"/>
  <c r="A8" i="7" l="1"/>
  <c r="M3" i="4" l="1"/>
  <c r="L19" i="7" l="1"/>
  <c r="L3" i="7" s="1"/>
  <c r="L2" i="7" s="1"/>
  <c r="M19" i="7" l="1"/>
  <c r="L9" i="7"/>
  <c r="M9" i="7" s="1"/>
  <c r="L10" i="7"/>
  <c r="M10" i="7" s="1"/>
  <c r="L11" i="7"/>
  <c r="M11" i="7" s="1"/>
  <c r="L12" i="7"/>
  <c r="M12" i="7" s="1"/>
  <c r="L14" i="7"/>
  <c r="M14" i="7" s="1"/>
  <c r="L15" i="7"/>
  <c r="M15" i="7" s="1"/>
  <c r="L16" i="7"/>
  <c r="M16" i="7" s="1"/>
  <c r="L17" i="7"/>
  <c r="M17" i="7" s="1"/>
  <c r="L18" i="7"/>
  <c r="M18" i="7" s="1"/>
  <c r="J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Martin, Josh</author>
  </authors>
  <commentList>
    <comment ref="G2" authorId="0" shapeId="0" xr:uid="{A8EDFBA9-E817-4156-AD71-95F12D426E85}">
      <text>
        <r>
          <rPr>
            <b/>
            <sz val="11"/>
            <color indexed="81"/>
            <rFont val="Tahoma"/>
            <family val="2"/>
          </rPr>
          <t>Martin, Josh:</t>
        </r>
        <r>
          <rPr>
            <sz val="11"/>
            <color indexed="81"/>
            <rFont val="Tahoma"/>
            <family val="2"/>
          </rPr>
          <t xml:space="preserve">
Filter for negative amounts and change to zero</t>
        </r>
      </text>
    </comment>
    <comment ref="M2" authorId="0" shapeId="0" xr:uid="{D14CDCBE-CFC9-4D42-8640-EDD442A03633}">
      <text>
        <r>
          <rPr>
            <b/>
            <sz val="9"/>
            <color indexed="81"/>
            <rFont val="Tahoma"/>
            <family val="2"/>
          </rPr>
          <t>Martin, Josh: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<sst xmlns="http://schemas.openxmlformats.org/spreadsheetml/2006/main" count="131" uniqueCount="78">
  <si>
    <t>Diff</t>
  </si>
  <si>
    <t>End of Month Date</t>
  </si>
  <si>
    <t>(All)</t>
  </si>
  <si>
    <t>Row Labels</t>
  </si>
  <si>
    <t>Count of Serial Num</t>
  </si>
  <si>
    <t>Average of Par Split</t>
  </si>
  <si>
    <t>Sum of Coin In</t>
  </si>
  <si>
    <t>Sum of Gross Win</t>
  </si>
  <si>
    <t>Sum of Cust. Split</t>
  </si>
  <si>
    <t>Sum of IGT Split</t>
  </si>
  <si>
    <t>Sum of Gross IGT Rev</t>
  </si>
  <si>
    <t>Sum of Net IGT Rev</t>
  </si>
  <si>
    <t>Sum of Machine Days</t>
  </si>
  <si>
    <t>RPU</t>
  </si>
  <si>
    <t>7th Street Casino</t>
  </si>
  <si>
    <t>Removed 10 Machines</t>
  </si>
  <si>
    <t>Border Casino  (Northern)</t>
  </si>
  <si>
    <t>Choctaw Durant Casino &amp; Resort</t>
  </si>
  <si>
    <t>Gross Win increased</t>
  </si>
  <si>
    <t>Choctaw Landing</t>
  </si>
  <si>
    <t>Prior month - 3 of 9 machines have negative win due to JP's</t>
  </si>
  <si>
    <t>Ho-Chunk Gaming Madison</t>
  </si>
  <si>
    <t>Removed 19 machines - Gross win decreased</t>
  </si>
  <si>
    <t>Naskila Casino</t>
  </si>
  <si>
    <t>Native Village of Eklutna</t>
  </si>
  <si>
    <t>Only 2 units active</t>
  </si>
  <si>
    <t>Newcastle Gaming Center (Northern)</t>
  </si>
  <si>
    <t>OHIYA Casino Resort</t>
  </si>
  <si>
    <t>San Pablo</t>
  </si>
  <si>
    <t>Added 15 units</t>
  </si>
  <si>
    <t>WinStar World Casino</t>
  </si>
  <si>
    <t>Grand Total</t>
  </si>
  <si>
    <t>Units</t>
  </si>
  <si>
    <t>%</t>
  </si>
  <si>
    <t>Install At</t>
  </si>
  <si>
    <t>Serial Num</t>
  </si>
  <si>
    <t>Coin In</t>
  </si>
  <si>
    <t>Gross Win</t>
  </si>
  <si>
    <t>Cust. Split</t>
  </si>
  <si>
    <t>IGT Split</t>
  </si>
  <si>
    <t>Gross IGT Rev</t>
  </si>
  <si>
    <t>Net IGT Rev</t>
  </si>
  <si>
    <t>Machine Days</t>
  </si>
  <si>
    <t>Par Split</t>
  </si>
  <si>
    <t>Cust Name (Ignore for SQL Upload)</t>
  </si>
  <si>
    <t>For Naskila - Use STARS Tab for Coin In</t>
  </si>
  <si>
    <t>See Lookup tab for Choctaw Cust #'s</t>
  </si>
  <si>
    <t>Billing Plan Upload</t>
  </si>
  <si>
    <t>Count of SERIAL NUM</t>
  </si>
  <si>
    <t>Angel of the Winds Casino</t>
  </si>
  <si>
    <t>Emerald Queen Casino Tacoma</t>
  </si>
  <si>
    <t>Little Creek Casino Resort</t>
  </si>
  <si>
    <t>Mistequa Casino Hotel</t>
  </si>
  <si>
    <t>Quil Ceda Creek Casino</t>
  </si>
  <si>
    <t>Skagit Valley Casino Resort</t>
  </si>
  <si>
    <t>Spokane Tribe Casino</t>
  </si>
  <si>
    <t>Tulalip Resort Casino</t>
  </si>
  <si>
    <t>Yakama Nation Legends Casino</t>
  </si>
  <si>
    <t>Silver Reef Casino</t>
  </si>
  <si>
    <t>Follow up:</t>
  </si>
  <si>
    <t>Ko-Kwel - Moved to BO Reporting</t>
  </si>
  <si>
    <t>Angel of the Winds(Stillaguamish )</t>
  </si>
  <si>
    <t>Gaming Capital Group</t>
  </si>
  <si>
    <t>Choctaw Landing (DNU) Use 3312495 per the PSD</t>
  </si>
  <si>
    <t>Emerald Queen Hotel and Casino</t>
  </si>
  <si>
    <t>Ilani Casino Resort</t>
  </si>
  <si>
    <t>Ko-Kwel Casino Resort Medford</t>
  </si>
  <si>
    <t>Lucky 77 Casino</t>
  </si>
  <si>
    <t>Mechoopda Casino</t>
  </si>
  <si>
    <t>Muckleshoot Indian Casino</t>
  </si>
  <si>
    <t>Northern Quest Casino</t>
  </si>
  <si>
    <t xml:space="preserve">Prairie Band </t>
  </si>
  <si>
    <t>Quil Ceda CreekCasino</t>
  </si>
  <si>
    <t>Snoqualmie Casino</t>
  </si>
  <si>
    <t>Swinomish Casino &amp; Lodge</t>
  </si>
  <si>
    <t>The Point Hotel &amp; Casino</t>
  </si>
  <si>
    <t>Yakama Nation Legands Casino</t>
  </si>
  <si>
    <t>Lucky Dog Casino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</si>
</sst>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##,000"/>
    <numFmt numFmtId="166" formatCode="_(&quot;$&quot;* #,##0_);_(&quot;$&quot;* \(#,##0\);_(&quot;$&quot;* &quot;-&quot;??_);_(@_)"/>
    <numFmt numFmtId="167" formatCode="0.0%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33CC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u/>
      <sz val="10"/>
      <color indexed="12"/>
      <name val="MS Sans Serif"/>
      <family val="2"/>
    </font>
    <font>
      <sz val="8"/>
      <name val="Calibri"/>
      <family val="2"/>
      <scheme val="minor"/>
    </font>
    <font>
      <u val="singleAccounting"/>
      <sz val="11"/>
      <color rgb="FF0000FF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8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2" borderId="0" applyNumberFormat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43" fontId="22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1" fillId="4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>
      <alignment wrapText="1"/>
    </xf>
    <xf numFmtId="0" fontId="19" fillId="0" borderId="0">
      <alignment wrapText="1"/>
    </xf>
    <xf numFmtId="0" fontId="19" fillId="0" borderId="0">
      <alignment wrapText="1"/>
    </xf>
    <xf numFmtId="0" fontId="1" fillId="0" borderId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>
      <alignment wrapText="1"/>
    </xf>
    <xf numFmtId="0" fontId="19" fillId="0" borderId="0">
      <alignment wrapText="1"/>
    </xf>
    <xf numFmtId="0" fontId="19" fillId="0" borderId="0">
      <alignment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33" borderId="10" applyNumberFormat="0" applyAlignment="0" applyProtection="0">
      <alignment horizontal="left" vertical="center" indent="1"/>
    </xf>
    <xf numFmtId="165" fontId="24" fillId="34" borderId="10" applyNumberFormat="0" applyAlignment="0" applyProtection="0">
      <alignment horizontal="left" vertical="center" indent="1"/>
    </xf>
    <xf numFmtId="0" fontId="19" fillId="0" borderId="0"/>
    <xf numFmtId="0" fontId="25" fillId="0" borderId="0" applyNumberFormat="0" applyFill="0" applyBorder="0" applyAlignment="0" applyProtection="0">
      <alignment vertical="top"/>
      <protection locked="0"/>
    </xf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14" fontId="4" fillId="0" borderId="0" xfId="0" applyNumberFormat="1" applyFont="1"/>
    <xf numFmtId="43" fontId="0" fillId="0" borderId="0" xfId="1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2" applyFont="1"/>
    <xf numFmtId="0" fontId="6" fillId="0" borderId="0" xfId="0" applyFont="1" applyAlignment="1">
      <alignment horizontal="center"/>
    </xf>
    <xf numFmtId="8" fontId="0" fillId="0" borderId="0" xfId="1" applyNumberFormat="1" applyFont="1"/>
    <xf numFmtId="0" fontId="0" fillId="35" borderId="0" xfId="0" applyFill="1" applyAlignment="1">
      <alignment horizontal="left"/>
    </xf>
    <xf numFmtId="43" fontId="4" fillId="0" borderId="0" xfId="1" applyFont="1"/>
    <xf numFmtId="43" fontId="27" fillId="0" borderId="0" xfId="1" applyFont="1"/>
    <xf numFmtId="43" fontId="28" fillId="0" borderId="0" xfId="1" applyFont="1"/>
    <xf numFmtId="164" fontId="0" fillId="0" borderId="0" xfId="1" applyNumberFormat="1" applyFont="1"/>
    <xf numFmtId="0" fontId="4" fillId="0" borderId="0" xfId="0" applyFont="1"/>
    <xf numFmtId="166" fontId="0" fillId="0" borderId="0" xfId="2" applyNumberFormat="1" applyFont="1"/>
    <xf numFmtId="0" fontId="0" fillId="0" borderId="11" xfId="0" applyBorder="1" applyAlignment="1">
      <alignment horizontal="left"/>
    </xf>
    <xf numFmtId="0" fontId="0" fillId="0" borderId="11" xfId="0" applyBorder="1"/>
    <xf numFmtId="166" fontId="0" fillId="0" borderId="11" xfId="2" applyNumberFormat="1" applyFont="1" applyBorder="1"/>
    <xf numFmtId="44" fontId="5" fillId="2" borderId="11" xfId="3" applyNumberFormat="1" applyBorder="1"/>
    <xf numFmtId="164" fontId="0" fillId="0" borderId="11" xfId="1" applyNumberFormat="1" applyFont="1" applyBorder="1"/>
    <xf numFmtId="164" fontId="29" fillId="36" borderId="11" xfId="1" applyNumberFormat="1" applyFont="1" applyFill="1" applyBorder="1"/>
    <xf numFmtId="0" fontId="30" fillId="36" borderId="0" xfId="0" applyFont="1" applyFill="1" applyAlignment="1">
      <alignment horizontal="center"/>
    </xf>
    <xf numFmtId="44" fontId="4" fillId="36" borderId="0" xfId="0" applyNumberFormat="1" applyFont="1" applyFill="1"/>
    <xf numFmtId="0" fontId="29" fillId="0" borderId="0" xfId="0" applyFont="1" applyAlignment="1">
      <alignment horizontal="right"/>
    </xf>
    <xf numFmtId="10" fontId="0" fillId="0" borderId="0" xfId="83" applyNumberFormat="1" applyFont="1"/>
    <xf numFmtId="164" fontId="0" fillId="36" borderId="0" xfId="0" applyNumberFormat="1" applyFill="1"/>
    <xf numFmtId="0" fontId="6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0" fillId="0" borderId="0" xfId="0" applyAlignment="1">
      <alignment horizontal="center"/>
    </xf>
    <xf numFmtId="44" fontId="5" fillId="35" borderId="0" xfId="3" applyNumberFormat="1" applyFill="1"/>
    <xf numFmtId="167" fontId="0" fillId="36" borderId="0" xfId="83" applyNumberFormat="1" applyFont="1" applyFill="1"/>
    <xf numFmtId="0" fontId="33" fillId="35" borderId="0" xfId="0" applyFont="1" applyFill="1"/>
    <xf numFmtId="43" fontId="0" fillId="0" borderId="0" xfId="0" applyNumberFormat="1"/>
    <xf numFmtId="0" fontId="0" fillId="37" borderId="12" xfId="0" applyFill="1" applyBorder="1"/>
    <xf numFmtId="0" fontId="2" fillId="36" borderId="0" xfId="0" applyFont="1" applyFill="1"/>
    <xf numFmtId="0" fontId="3" fillId="38" borderId="11" xfId="0" applyFont="1" applyFill="1" applyBorder="1"/>
    <xf numFmtId="43" fontId="3" fillId="38" borderId="11" xfId="1" applyFont="1" applyFill="1" applyBorder="1"/>
    <xf numFmtId="43" fontId="2" fillId="38" borderId="11" xfId="1" applyFont="1" applyFill="1" applyBorder="1"/>
    <xf numFmtId="43" fontId="3" fillId="38" borderId="11" xfId="1" applyFont="1" applyFill="1" applyBorder="1" applyAlignment="1">
      <alignment horizontal="left"/>
    </xf>
    <xf numFmtId="44" fontId="0" fillId="0" borderId="11" xfId="2" applyFont="1" applyBorder="1"/>
    <xf numFmtId="44" fontId="4" fillId="36" borderId="11" xfId="0" applyNumberFormat="1" applyFont="1" applyFill="1" applyBorder="1"/>
    <xf numFmtId="0" fontId="0" fillId="0" borderId="11" xfId="0" applyBorder="1" applyAlignment="1">
      <alignment horizontal="center"/>
    </xf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44" fontId="0" fillId="0" borderId="0" xfId="2" applyFont="1" applyFill="1"/>
    <xf numFmtId="43" fontId="0" fillId="0" borderId="0" xfId="1" applyFont="1" applyFill="1"/>
    <xf numFmtId="43" fontId="29" fillId="36" borderId="11" xfId="1" applyFont="1" applyFill="1" applyBorder="1"/>
    <xf numFmtId="14" fontId="36" fillId="0" borderId="0" xfId="0" applyNumberFormat="1" applyFont="1"/>
  </cellXfs>
  <cellStyles count="84">
    <cellStyle name="20% - Accent1" xfId="19" builtinId="30" customBuiltin="1"/>
    <cellStyle name="20% - Accent2" xfId="22" builtinId="34" customBuiltin="1"/>
    <cellStyle name="20% - Accent3" xfId="25" builtinId="38" customBuiltin="1"/>
    <cellStyle name="20% - Accent4" xfId="28" builtinId="42" customBuiltin="1"/>
    <cellStyle name="20% - Accent5" xfId="31" builtinId="46" customBuiltin="1"/>
    <cellStyle name="20% - Accent6" xfId="34" builtinId="50" customBuiltin="1"/>
    <cellStyle name="40% - Accent1" xfId="20" builtinId="31" customBuiltin="1"/>
    <cellStyle name="40% - Accent2" xfId="23" builtinId="35" customBuiltin="1"/>
    <cellStyle name="40% - Accent3" xfId="26" builtinId="39" customBuiltin="1"/>
    <cellStyle name="40% - Accent4" xfId="29" builtinId="43" customBuiltin="1"/>
    <cellStyle name="40% - Accent5" xfId="32" builtinId="47" customBuiltin="1"/>
    <cellStyle name="40% - Accent6" xfId="35" builtinId="51" customBuiltin="1"/>
    <cellStyle name="60% - Accent1 2" xfId="41" xr:uid="{5F2298DA-82C8-4F32-8204-D69BBA70938F}"/>
    <cellStyle name="60% - Accent2 2" xfId="42" xr:uid="{EE3E933A-0B6E-491B-9B82-CCE62535AB26}"/>
    <cellStyle name="60% - Accent3 2" xfId="43" xr:uid="{DB5ABADE-CE5A-43D7-96A5-FC370B3D51E7}"/>
    <cellStyle name="60% - Accent4 2" xfId="44" xr:uid="{8AAF753E-7E7E-4048-BED1-7AAC46D43D74}"/>
    <cellStyle name="60% - Accent5 2" xfId="45" xr:uid="{C91F3BC5-9574-407B-8562-77BA29A4B882}"/>
    <cellStyle name="60% - Accent6 2" xfId="46" xr:uid="{BB166771-EA6D-4731-BAEE-F484C3AF7139}"/>
    <cellStyle name="Accent1" xfId="18" builtinId="29" customBuiltin="1"/>
    <cellStyle name="Accent2" xfId="21" builtinId="33" customBuiltin="1"/>
    <cellStyle name="Accent3" xfId="24" builtinId="37" customBuiltin="1"/>
    <cellStyle name="Accent4" xfId="27" builtinId="41" customBuiltin="1"/>
    <cellStyle name="Accent5" xfId="30" builtinId="45" customBuiltin="1"/>
    <cellStyle name="Accent6" xfId="33" builtinId="49" customBuiltin="1"/>
    <cellStyle name="Bad" xfId="8" builtinId="27" customBuiltin="1"/>
    <cellStyle name="Calculation" xfId="11" builtinId="22" customBuiltin="1"/>
    <cellStyle name="Check Cell" xfId="13" builtinId="23" customBuiltin="1"/>
    <cellStyle name="Comma" xfId="1" builtinId="3"/>
    <cellStyle name="Comma 2" xfId="51" xr:uid="{D12AEB5F-15FC-46F3-8F92-F4570A0A8E21}"/>
    <cellStyle name="Comma 2 2" xfId="72" xr:uid="{667088E1-B866-4050-91DC-6F04AA8B3833}"/>
    <cellStyle name="Comma 2 2 2" xfId="82" xr:uid="{1B2F66FD-0FB5-45D7-8B44-49F6920D5AFC}"/>
    <cellStyle name="Comma 2 3" xfId="38" xr:uid="{43D54DF6-8CC0-47CF-9CBC-CD4489EECCC8}"/>
    <cellStyle name="Comma 3" xfId="52" xr:uid="{B7548749-5F44-40C6-B9BA-12792591F7FA}"/>
    <cellStyle name="Comma 34" xfId="81" xr:uid="{9474858D-5B55-44B8-A590-05D2B0E4E5EC}"/>
    <cellStyle name="Comma 4" xfId="71" xr:uid="{463730F3-A32C-4781-AF9B-A8D1B91803C6}"/>
    <cellStyle name="Currency" xfId="2" builtinId="4"/>
    <cellStyle name="Explanatory Text" xfId="16" builtinId="53" customBuiltin="1"/>
    <cellStyle name="Good" xfId="3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 2" xfId="80" xr:uid="{63342C72-0A8F-4CC5-8324-CAD6B34C38C7}"/>
    <cellStyle name="Input" xfId="9" builtinId="20" customBuiltin="1"/>
    <cellStyle name="Linked Cell" xfId="12" builtinId="24" customBuiltin="1"/>
    <cellStyle name="Neutral 2" xfId="40" xr:uid="{250AAE00-B558-4852-90AC-61A9208ED056}"/>
    <cellStyle name="Normal" xfId="0" builtinId="0"/>
    <cellStyle name="Normal 10" xfId="57" xr:uid="{6CC0B3DF-E462-4D16-8B2E-11239047534D}"/>
    <cellStyle name="Normal 11" xfId="58" xr:uid="{29CB0CBD-F769-4D38-8377-2189BBBCFFD0}"/>
    <cellStyle name="Normal 12" xfId="59" xr:uid="{274E9203-7B26-40F7-944C-3CD79C9BC15E}"/>
    <cellStyle name="Normal 13" xfId="60" xr:uid="{0CC83B84-7FD3-4EA3-90CF-3E92442FDA61}"/>
    <cellStyle name="Normal 14" xfId="61" xr:uid="{54DBBD6D-55B9-4786-9535-D9DE1CE44379}"/>
    <cellStyle name="Normal 15" xfId="62" xr:uid="{533E6EA8-853E-4A4A-8318-B533D3DF9588}"/>
    <cellStyle name="Normal 16" xfId="63" xr:uid="{EDDA90C6-B7E5-432D-A122-2E54AB0D0B80}"/>
    <cellStyle name="Normal 17" xfId="64" xr:uid="{F72A3912-3AA2-41EF-AA77-A536347CE242}"/>
    <cellStyle name="Normal 18" xfId="65" xr:uid="{AFE91C39-237E-4946-B9D1-833FB25BECE6}"/>
    <cellStyle name="Normal 19" xfId="66" xr:uid="{9ABFDDA3-63EA-4A23-BE87-01F04C1243F8}"/>
    <cellStyle name="Normal 2" xfId="47" xr:uid="{9493E354-DB4B-4F43-B83A-B7E3FAB3DD70}"/>
    <cellStyle name="Normal 2 2" xfId="50" xr:uid="{D08489A5-D412-469D-85F7-0604B000A4DA}"/>
    <cellStyle name="Normal 20" xfId="67" xr:uid="{7397FF95-81F6-4340-97F4-7F5768AD504C}"/>
    <cellStyle name="Normal 21" xfId="68" xr:uid="{8EDB3A60-DF0D-401A-BA10-E6A3A4B52238}"/>
    <cellStyle name="Normal 22" xfId="73" xr:uid="{134E7B87-623F-4576-9A72-27FC0D91D788}"/>
    <cellStyle name="Normal 22 2" xfId="74" xr:uid="{0A9C7BB7-E609-4887-B5D7-0E3F1C67D79A}"/>
    <cellStyle name="Normal 22 3" xfId="75" xr:uid="{A6AF2879-2544-4270-A8B9-EAECC4EA6C92}"/>
    <cellStyle name="Normal 23" xfId="76" xr:uid="{54DFC295-585F-4708-A7EA-8138C5369AF3}"/>
    <cellStyle name="Normal 24" xfId="79" xr:uid="{90DA83B1-C9F2-4BB1-9715-5E0AD0FDB159}"/>
    <cellStyle name="Normal 3" xfId="48" xr:uid="{BEBCDFAB-D1FE-49AD-B17D-947687B5FD17}"/>
    <cellStyle name="Normal 4" xfId="49" xr:uid="{02744831-C91E-4D70-96C8-5C826AEBC2A6}"/>
    <cellStyle name="Normal 5" xfId="53" xr:uid="{2F1A1ED3-F17A-4569-81D9-05A7A433B872}"/>
    <cellStyle name="Normal 6" xfId="54" xr:uid="{C21BB86E-B6FF-4092-9FE9-330606F15947}"/>
    <cellStyle name="Normal 7" xfId="55" xr:uid="{DA7A68DC-3BC3-436D-B871-BA501801AA2A}"/>
    <cellStyle name="Normal 8" xfId="36" xr:uid="{8C10A651-32DE-47B6-87FD-B530902FED23}"/>
    <cellStyle name="Normal 8 2" xfId="69" xr:uid="{A9A29896-77A7-4499-BF5D-8AE0AFC62706}"/>
    <cellStyle name="Normal 9" xfId="56" xr:uid="{14FBAA38-821E-4406-9824-876F48CB542A}"/>
    <cellStyle name="Note" xfId="15" builtinId="10" customBuiltin="1"/>
    <cellStyle name="Note 2" xfId="70" xr:uid="{651CD787-F9E6-4E66-A44F-E2DDE5732DB0}"/>
    <cellStyle name="Output" xfId="10" builtinId="21" customBuiltin="1"/>
    <cellStyle name="Percent" xfId="83" builtinId="5"/>
    <cellStyle name="Percent 2" xfId="39" xr:uid="{23915047-10C6-47AF-A466-9157EB1D5D3A}"/>
    <cellStyle name="SAPDimensionCell" xfId="77" xr:uid="{0DC6033A-C62A-4409-9FC5-721D6AD2DD1A}"/>
    <cellStyle name="SAPMemberCell" xfId="78" xr:uid="{1C2DC796-3870-42C9-B14E-F9F715161271}"/>
    <cellStyle name="Title 2" xfId="37" xr:uid="{DB4E6F14-5E4C-40F8-8670-17377F8EE755}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_(* #,##0_);_(* \(#,##0\);_(* &quot;-&quot;??_);_(@_)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1</xdr:row>
      <xdr:rowOff>95250</xdr:rowOff>
    </xdr:from>
    <xdr:to>
      <xdr:col>16</xdr:col>
      <xdr:colOff>589296</xdr:colOff>
      <xdr:row>23</xdr:row>
      <xdr:rowOff>104250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16F682-F25C-EC49-E8AA-C1FDF1977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285750"/>
          <a:ext cx="10028571" cy="42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219074</xdr:colOff>
      <xdr:row>1</xdr:row>
      <xdr:rowOff>0</xdr:rowOff>
    </xdr:from>
    <xdr:to>
      <xdr:col>23</xdr:col>
      <xdr:colOff>112989</xdr:colOff>
      <xdr:row>37</xdr:row>
      <xdr:rowOff>24554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A2D718-8237-DBFE-84F6-637EDB607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49" y="190500"/>
          <a:ext cx="9647515" cy="691112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, Josh" refreshedDate="46022.468932175929" createdVersion="8" refreshedVersion="8" minRefreshableVersion="3" recordCount="731" xr:uid="{DB5C9A6A-CCD7-49DB-A5E5-943A8A52B48F}">
  <cacheSource type="worksheet">
    <worksheetSource ref="B2:M733" sheet="WP"/>
  </cacheSource>
  <cacheFields count="12">
    <cacheField name="End of Month Date" numFmtId="14">
      <sharedItems containsSemiMixedTypes="0" containsNonDate="0" containsDate="1" containsString="0" minDate="2025-11-30T00:00:00" maxDate="2025-12-01T00:00:00" count="1">
        <d v="2025-11-30T00:00:00"/>
      </sharedItems>
    </cacheField>
    <cacheField name="Install At" numFmtId="0">
      <sharedItems containsSemiMixedTypes="0" containsString="0" containsNumber="1" containsInteger="1" minValue="3104105" maxValue="3312907"/>
    </cacheField>
    <cacheField name="Serial Num" numFmtId="0">
      <sharedItems containsSemiMixedTypes="0" containsString="0" containsNumber="1" containsInteger="1" minValue="1916633" maxValue="2660882"/>
    </cacheField>
    <cacheField name="Coin In" numFmtId="43">
      <sharedItems containsSemiMixedTypes="0" containsString="0" containsNumber="1" minValue="0" maxValue="1635727"/>
    </cacheField>
    <cacheField name="Gross Win" numFmtId="43">
      <sharedItems containsSemiMixedTypes="0" containsString="0" containsNumber="1" minValue="-28379.9" maxValue="84510"/>
    </cacheField>
    <cacheField name="Cust. Split" numFmtId="43">
      <sharedItems containsSemiMixedTypes="0" containsString="0" containsNumber="1" minValue="-26085.300535866987" maxValue="77808.134664133016"/>
    </cacheField>
    <cacheField name="IGT Split" numFmtId="8">
      <sharedItems containsSemiMixedTypes="0" containsString="0" containsNumber="1" minValue="-3632.1263999999996" maxValue="6782.6594999999998"/>
    </cacheField>
    <cacheField name="Gross IGT Rev" numFmtId="8">
      <sharedItems containsSemiMixedTypes="0" containsString="0" containsNumber="1" minValue="-3632.1263999999996" maxValue="6782.6594999999998"/>
    </cacheField>
    <cacheField name="Net IGT Rev" numFmtId="8">
      <sharedItems containsSemiMixedTypes="0" containsString="0" containsNumber="1" minValue="-3632.1263999999996" maxValue="6782.6594999999998"/>
    </cacheField>
    <cacheField name="Machine Days" numFmtId="0">
      <sharedItems containsSemiMixedTypes="0" containsString="0" containsNumber="1" containsInteger="1" minValue="3" maxValue="31"/>
    </cacheField>
    <cacheField name="Par Split" numFmtId="0">
      <sharedItems containsString="0" containsBlank="1" containsNumber="1" minValue="0" maxValue="0.2"/>
    </cacheField>
    <cacheField name="Cust Name (Ignore for SQL Upload)" numFmtId="0">
      <sharedItems count="11">
        <s v="7th Street Casino"/>
        <s v="Choctaw Durant Casino &amp; Resort"/>
        <s v="Choctaw Landing"/>
        <s v="Native Village of Eklutna"/>
        <s v="Ho-Chunk Gaming Madison"/>
        <s v="Naskila Casino"/>
        <s v="Newcastle Gaming Center (Northern)"/>
        <s v="OHIYA Casino Resort"/>
        <s v="Border Casino  (Northern)"/>
        <s v="WinStar World Casino"/>
        <s v="San Pabl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">
  <r>
    <x v="0"/>
    <n v="3106723"/>
    <n v="2109718"/>
    <n v="139017.4"/>
    <n v="11807.75"/>
    <n v="9446.2000000000007"/>
    <n v="2361.5500000000002"/>
    <n v="2361.5500000000002"/>
    <n v="2361.5500000000002"/>
    <n v="30"/>
    <n v="0.2"/>
    <x v="0"/>
  </r>
  <r>
    <x v="0"/>
    <n v="3106723"/>
    <n v="2109719"/>
    <n v="122923"/>
    <n v="8294.5399999999936"/>
    <n v="6635.6319999999951"/>
    <n v="1658.9079999999988"/>
    <n v="1658.9079999999988"/>
    <n v="1658.9079999999988"/>
    <n v="30"/>
    <n v="0.2"/>
    <x v="0"/>
  </r>
  <r>
    <x v="0"/>
    <n v="3106723"/>
    <n v="2109720"/>
    <n v="78510.8"/>
    <n v="3946.9400000000023"/>
    <n v="3157.552000000002"/>
    <n v="789.38800000000049"/>
    <n v="789.38800000000049"/>
    <n v="789.38800000000049"/>
    <n v="30"/>
    <n v="0.2"/>
    <x v="0"/>
  </r>
  <r>
    <x v="0"/>
    <n v="3106723"/>
    <n v="2109721"/>
    <n v="81888"/>
    <n v="3669.0600000000049"/>
    <n v="2935.2480000000041"/>
    <n v="733.81200000000104"/>
    <n v="733.81200000000104"/>
    <n v="733.81200000000104"/>
    <n v="30"/>
    <n v="0.2"/>
    <x v="0"/>
  </r>
  <r>
    <x v="0"/>
    <n v="3106723"/>
    <n v="2185100"/>
    <n v="114965.4"/>
    <n v="10728.239999999998"/>
    <n v="8582.5919999999987"/>
    <n v="2145.6479999999997"/>
    <n v="2145.6479999999997"/>
    <n v="2145.6479999999997"/>
    <n v="30"/>
    <n v="0.2"/>
    <x v="0"/>
  </r>
  <r>
    <x v="0"/>
    <n v="3106723"/>
    <n v="2593737"/>
    <n v="166937.1"/>
    <n v="11424.529999999999"/>
    <n v="9139.6239999999998"/>
    <n v="2284.9059999999999"/>
    <n v="2284.9059999999999"/>
    <n v="2284.9059999999999"/>
    <n v="30"/>
    <n v="0.2"/>
    <x v="0"/>
  </r>
  <r>
    <x v="0"/>
    <n v="3106723"/>
    <n v="2593735"/>
    <n v="144569.60000000001"/>
    <n v="13981.440000000002"/>
    <n v="11185.152000000002"/>
    <n v="2796.2880000000005"/>
    <n v="2796.2880000000005"/>
    <n v="2796.2880000000005"/>
    <n v="30"/>
    <n v="0.2"/>
    <x v="0"/>
  </r>
  <r>
    <x v="0"/>
    <n v="3106723"/>
    <n v="2593738"/>
    <n v="103229.98"/>
    <n v="7525.8799999999974"/>
    <n v="6020.7039999999979"/>
    <n v="1505.1759999999995"/>
    <n v="1505.1759999999995"/>
    <n v="1505.1759999999995"/>
    <n v="30"/>
    <n v="0.2"/>
    <x v="0"/>
  </r>
  <r>
    <x v="0"/>
    <n v="3106723"/>
    <n v="2593736"/>
    <n v="121209.2"/>
    <n v="8552.14"/>
    <n v="6841.7119999999995"/>
    <n v="1710.4279999999999"/>
    <n v="1710.4279999999999"/>
    <n v="1710.4279999999999"/>
    <n v="30"/>
    <n v="0.2"/>
    <x v="0"/>
  </r>
  <r>
    <x v="0"/>
    <n v="3106723"/>
    <n v="2593739"/>
    <n v="145271.94"/>
    <n v="11050"/>
    <n v="8840"/>
    <n v="2210"/>
    <n v="2210"/>
    <n v="2210"/>
    <n v="30"/>
    <n v="0.2"/>
    <x v="0"/>
  </r>
  <r>
    <x v="0"/>
    <n v="3106723"/>
    <n v="2623566"/>
    <n v="122106.2"/>
    <n v="10393.86"/>
    <n v="8315.0880000000016"/>
    <n v="2078.7720000000004"/>
    <n v="2078.7720000000004"/>
    <n v="2078.7720000000004"/>
    <n v="30"/>
    <n v="0.2"/>
    <x v="0"/>
  </r>
  <r>
    <x v="0"/>
    <n v="3106723"/>
    <n v="2623567"/>
    <n v="85880.6"/>
    <n v="12700.529999999992"/>
    <n v="10160.423999999994"/>
    <n v="2540.1059999999984"/>
    <n v="2540.1059999999984"/>
    <n v="2540.1059999999984"/>
    <n v="30"/>
    <n v="0.2"/>
    <x v="0"/>
  </r>
  <r>
    <x v="0"/>
    <n v="3106723"/>
    <n v="2623565"/>
    <n v="53744.2"/>
    <n v="597.20000000000437"/>
    <n v="477.76000000000352"/>
    <n v="119.44000000000088"/>
    <n v="119.44000000000088"/>
    <n v="119.44000000000088"/>
    <n v="30"/>
    <n v="0.2"/>
    <x v="0"/>
  </r>
  <r>
    <x v="0"/>
    <n v="3106723"/>
    <n v="2623568"/>
    <n v="91847"/>
    <n v="11908.910000000003"/>
    <n v="9527.1280000000024"/>
    <n v="2381.7820000000006"/>
    <n v="2381.7820000000006"/>
    <n v="2381.7820000000006"/>
    <n v="30"/>
    <n v="0.2"/>
    <x v="0"/>
  </r>
  <r>
    <x v="0"/>
    <n v="3106723"/>
    <n v="2643071"/>
    <n v="107818.8"/>
    <n v="-2360.9199999999983"/>
    <n v="-1888.7359999999987"/>
    <n v="-472.18399999999968"/>
    <n v="-472.18399999999968"/>
    <n v="-472.18399999999968"/>
    <n v="30"/>
    <n v="0.2"/>
    <x v="0"/>
  </r>
  <r>
    <x v="0"/>
    <n v="3106723"/>
    <n v="2643074"/>
    <n v="85273"/>
    <n v="-338.81999999999971"/>
    <n v="-271.05599999999976"/>
    <n v="-67.763999999999939"/>
    <n v="-67.763999999999939"/>
    <n v="-67.763999999999939"/>
    <n v="30"/>
    <n v="0.2"/>
    <x v="0"/>
  </r>
  <r>
    <x v="0"/>
    <n v="3106723"/>
    <n v="2643072"/>
    <n v="86677.2"/>
    <n v="16327.279999999999"/>
    <n v="13061.824000000001"/>
    <n v="3265.4560000000001"/>
    <n v="3265.4560000000001"/>
    <n v="3265.4560000000001"/>
    <n v="30"/>
    <n v="0.2"/>
    <x v="0"/>
  </r>
  <r>
    <x v="0"/>
    <n v="3106723"/>
    <n v="2643075"/>
    <n v="53286.2"/>
    <n v="9347.7800000000061"/>
    <n v="7478.2240000000056"/>
    <n v="1869.5560000000014"/>
    <n v="1869.5560000000014"/>
    <n v="1869.5560000000014"/>
    <n v="30"/>
    <n v="0.2"/>
    <x v="0"/>
  </r>
  <r>
    <x v="0"/>
    <n v="3106723"/>
    <n v="2643073"/>
    <n v="76964.399999999994"/>
    <n v="8843.1900000000023"/>
    <n v="7074.5520000000024"/>
    <n v="1768.6380000000006"/>
    <n v="1768.6380000000006"/>
    <n v="1768.6380000000006"/>
    <n v="30"/>
    <n v="0.2"/>
    <x v="0"/>
  </r>
  <r>
    <x v="0"/>
    <n v="3106723"/>
    <n v="2643076"/>
    <n v="64978"/>
    <n v="3896"/>
    <n v="3116.8"/>
    <n v="779.2"/>
    <n v="779.2"/>
    <n v="779.2"/>
    <n v="30"/>
    <n v="0.2"/>
    <x v="0"/>
  </r>
  <r>
    <x v="0"/>
    <n v="3106723"/>
    <n v="2643083"/>
    <n v="74305.86"/>
    <n v="6075.7000000000044"/>
    <n v="4860.560000000004"/>
    <n v="1215.140000000001"/>
    <n v="1215.140000000001"/>
    <n v="1215.140000000001"/>
    <n v="30"/>
    <n v="0.2"/>
    <x v="0"/>
  </r>
  <r>
    <x v="0"/>
    <n v="3106723"/>
    <n v="2643084"/>
    <n v="89206.16"/>
    <n v="6920.2000000000044"/>
    <n v="5536.1600000000035"/>
    <n v="1384.0400000000009"/>
    <n v="1384.0400000000009"/>
    <n v="1384.0400000000009"/>
    <n v="30"/>
    <n v="0.2"/>
    <x v="0"/>
  </r>
  <r>
    <x v="0"/>
    <n v="3106723"/>
    <n v="2643077"/>
    <n v="73079.42"/>
    <n v="3892.4400000000023"/>
    <n v="3113.952000000002"/>
    <n v="778.48800000000051"/>
    <n v="778.48800000000051"/>
    <n v="778.48800000000051"/>
    <n v="30"/>
    <n v="0.2"/>
    <x v="0"/>
  </r>
  <r>
    <x v="0"/>
    <n v="3106723"/>
    <n v="2643079"/>
    <n v="64949.78"/>
    <n v="265.13999999999942"/>
    <n v="212.11199999999954"/>
    <n v="53.027999999999885"/>
    <n v="53.027999999999885"/>
    <n v="53.027999999999885"/>
    <n v="30"/>
    <n v="0.2"/>
    <x v="0"/>
  </r>
  <r>
    <x v="0"/>
    <n v="3106723"/>
    <n v="2643078"/>
    <n v="82575.100000000006"/>
    <n v="10868.760000000002"/>
    <n v="8695.0080000000016"/>
    <n v="2173.7520000000004"/>
    <n v="2173.7520000000004"/>
    <n v="2173.7520000000004"/>
    <n v="30"/>
    <n v="0.2"/>
    <x v="0"/>
  </r>
  <r>
    <x v="0"/>
    <n v="3106723"/>
    <n v="2643080"/>
    <n v="80557.98"/>
    <n v="8208.6900000000023"/>
    <n v="6566.952000000002"/>
    <n v="1641.7380000000005"/>
    <n v="1641.7380000000005"/>
    <n v="1641.7380000000005"/>
    <n v="30"/>
    <n v="0.2"/>
    <x v="0"/>
  </r>
  <r>
    <x v="0"/>
    <n v="3106723"/>
    <n v="2643081"/>
    <n v="121099.76"/>
    <n v="9816.1600000000035"/>
    <n v="7852.9280000000035"/>
    <n v="1963.2320000000009"/>
    <n v="1963.2320000000009"/>
    <n v="1963.2320000000009"/>
    <n v="30"/>
    <n v="0.2"/>
    <x v="0"/>
  </r>
  <r>
    <x v="0"/>
    <n v="3106723"/>
    <n v="2643082"/>
    <n v="170729.18"/>
    <n v="15616.869999999995"/>
    <n v="12493.495999999997"/>
    <n v="3123.3739999999993"/>
    <n v="3123.3739999999993"/>
    <n v="3123.3739999999993"/>
    <n v="30"/>
    <n v="0.2"/>
    <x v="0"/>
  </r>
  <r>
    <x v="0"/>
    <n v="3106723"/>
    <n v="2578899"/>
    <n v="69373.95"/>
    <n v="4616.5200000000004"/>
    <n v="3693.2160000000003"/>
    <n v="923.30400000000009"/>
    <n v="923.30400000000009"/>
    <n v="923.30400000000009"/>
    <n v="30"/>
    <n v="0.2"/>
    <x v="0"/>
  </r>
  <r>
    <x v="0"/>
    <n v="3106723"/>
    <n v="2646295"/>
    <n v="181826.25"/>
    <n v="13346.309999999998"/>
    <n v="10677.047999999999"/>
    <n v="2669.2619999999997"/>
    <n v="2669.2619999999997"/>
    <n v="2669.2619999999997"/>
    <n v="30"/>
    <n v="0.2"/>
    <x v="0"/>
  </r>
  <r>
    <x v="0"/>
    <n v="3106723"/>
    <n v="2646296"/>
    <n v="188816.25"/>
    <n v="11652.429999999993"/>
    <n v="9321.943999999994"/>
    <n v="2330.4859999999985"/>
    <n v="2330.4859999999985"/>
    <n v="2330.4859999999985"/>
    <n v="30"/>
    <n v="0.2"/>
    <x v="0"/>
  </r>
  <r>
    <x v="0"/>
    <n v="3106723"/>
    <n v="2646297"/>
    <n v="126296.75"/>
    <n v="2205.4899999999907"/>
    <n v="1764.3919999999925"/>
    <n v="441.09799999999814"/>
    <n v="441.09799999999814"/>
    <n v="441.09799999999814"/>
    <n v="30"/>
    <n v="0.2"/>
    <x v="0"/>
  </r>
  <r>
    <x v="0"/>
    <n v="3106723"/>
    <n v="2646298"/>
    <n v="236244"/>
    <n v="28654.479999999996"/>
    <n v="22923.583999999999"/>
    <n v="5730.8959999999997"/>
    <n v="5730.8959999999997"/>
    <n v="5730.8959999999997"/>
    <n v="30"/>
    <n v="0.2"/>
    <x v="0"/>
  </r>
  <r>
    <x v="0"/>
    <n v="3106723"/>
    <n v="2578900"/>
    <n v="79103.5"/>
    <n v="3591.5699999999997"/>
    <n v="2873.2559999999999"/>
    <n v="718.31399999999996"/>
    <n v="718.31399999999996"/>
    <n v="718.31399999999996"/>
    <n v="30"/>
    <n v="0.2"/>
    <x v="0"/>
  </r>
  <r>
    <x v="0"/>
    <n v="3106723"/>
    <n v="2603541"/>
    <n v="91027.8"/>
    <n v="7042.68"/>
    <n v="5634.1440000000002"/>
    <n v="1408.5360000000001"/>
    <n v="1408.5360000000001"/>
    <n v="1408.5360000000001"/>
    <n v="30"/>
    <n v="0.2"/>
    <x v="0"/>
  </r>
  <r>
    <x v="0"/>
    <n v="3106723"/>
    <n v="2603542"/>
    <n v="118808.4"/>
    <n v="9092.2100000000064"/>
    <n v="7273.7680000000055"/>
    <n v="1818.4420000000014"/>
    <n v="1818.4420000000014"/>
    <n v="1818.4420000000014"/>
    <n v="30"/>
    <n v="0.2"/>
    <x v="0"/>
  </r>
  <r>
    <x v="0"/>
    <n v="3106723"/>
    <n v="2603543"/>
    <n v="161441.60000000001"/>
    <n v="13108.630000000005"/>
    <n v="10486.904000000004"/>
    <n v="2621.726000000001"/>
    <n v="2621.726000000001"/>
    <n v="2621.726000000001"/>
    <n v="30"/>
    <n v="0.2"/>
    <x v="0"/>
  </r>
  <r>
    <x v="0"/>
    <n v="3106723"/>
    <n v="2603544"/>
    <n v="177268.4"/>
    <n v="18709.199999999997"/>
    <n v="14967.359999999999"/>
    <n v="3741.8399999999997"/>
    <n v="3741.8399999999997"/>
    <n v="3741.8399999999997"/>
    <n v="30"/>
    <n v="0.2"/>
    <x v="0"/>
  </r>
  <r>
    <x v="0"/>
    <n v="3106723"/>
    <n v="2603545"/>
    <n v="67529.600000000006"/>
    <n v="7158.9600000000064"/>
    <n v="5727.1680000000051"/>
    <n v="1431.7920000000013"/>
    <n v="1431.7920000000013"/>
    <n v="1431.7920000000013"/>
    <n v="30"/>
    <n v="0.2"/>
    <x v="0"/>
  </r>
  <r>
    <x v="0"/>
    <n v="3106723"/>
    <n v="2603546"/>
    <n v="161831.66"/>
    <n v="2246.4399999999878"/>
    <n v="1797.1519999999903"/>
    <n v="449.28799999999757"/>
    <n v="449.28799999999757"/>
    <n v="449.28799999999757"/>
    <n v="30"/>
    <n v="0.2"/>
    <x v="0"/>
  </r>
  <r>
    <x v="0"/>
    <n v="3106723"/>
    <n v="2603547"/>
    <n v="76932.679999999993"/>
    <n v="5988.4400000000023"/>
    <n v="4790.7520000000022"/>
    <n v="1197.6880000000006"/>
    <n v="1197.6880000000006"/>
    <n v="1197.6880000000006"/>
    <n v="30"/>
    <n v="0.2"/>
    <x v="0"/>
  </r>
  <r>
    <x v="0"/>
    <n v="3106723"/>
    <n v="2603548"/>
    <n v="93622.84"/>
    <n v="2935.0599999999977"/>
    <n v="2348.0479999999984"/>
    <n v="587.0119999999996"/>
    <n v="587.0119999999996"/>
    <n v="587.0119999999996"/>
    <n v="30"/>
    <n v="0.2"/>
    <x v="0"/>
  </r>
  <r>
    <x v="0"/>
    <n v="3106723"/>
    <n v="2603549"/>
    <n v="57579.75"/>
    <n v="5728.3899999999994"/>
    <n v="4582.7119999999995"/>
    <n v="1145.6779999999999"/>
    <n v="1145.6779999999999"/>
    <n v="1145.6779999999999"/>
    <n v="30"/>
    <n v="0.2"/>
    <x v="0"/>
  </r>
  <r>
    <x v="0"/>
    <n v="3106723"/>
    <n v="2603550"/>
    <n v="112122.75"/>
    <n v="10649.239999999991"/>
    <n v="8519.3919999999925"/>
    <n v="2129.8479999999981"/>
    <n v="2129.8479999999981"/>
    <n v="2129.8479999999981"/>
    <n v="30"/>
    <n v="0.2"/>
    <x v="0"/>
  </r>
  <r>
    <x v="0"/>
    <n v="3302859"/>
    <n v="2531268"/>
    <n v="113039.99999999999"/>
    <n v="11447.149999999994"/>
    <n v="10545.686937499995"/>
    <n v="901.46306249999952"/>
    <n v="901.46306249999952"/>
    <n v="901.46306249999952"/>
    <n v="31"/>
    <n v="7.8750000000000001E-2"/>
    <x v="1"/>
  </r>
  <r>
    <x v="0"/>
    <n v="3302859"/>
    <n v="2531264"/>
    <n v="100079.22"/>
    <n v="5637.0200000000041"/>
    <n v="5193.1046750000041"/>
    <n v="443.91532500000034"/>
    <n v="443.91532500000034"/>
    <n v="443.91532500000034"/>
    <n v="31"/>
    <n v="7.8750000000000001E-2"/>
    <x v="1"/>
  </r>
  <r>
    <x v="0"/>
    <n v="3302859"/>
    <n v="2531269"/>
    <n v="94682.619999999966"/>
    <n v="9355.9700000000012"/>
    <n v="8619.1873625000007"/>
    <n v="736.78263750000008"/>
    <n v="736.78263750000008"/>
    <n v="736.78263750000008"/>
    <n v="31"/>
    <n v="7.8750000000000001E-2"/>
    <x v="1"/>
  </r>
  <r>
    <x v="0"/>
    <n v="3302859"/>
    <n v="2531265"/>
    <n v="140952.5"/>
    <n v="11984.949999999997"/>
    <n v="11041.135187499996"/>
    <n v="943.81481249999979"/>
    <n v="943.81481249999979"/>
    <n v="943.81481249999979"/>
    <n v="31"/>
    <n v="7.8750000000000001E-2"/>
    <x v="1"/>
  </r>
  <r>
    <x v="0"/>
    <n v="3302859"/>
    <n v="2531270"/>
    <n v="115133.97999999998"/>
    <n v="14565.240000000005"/>
    <n v="13418.227350000005"/>
    <n v="1147.0126500000003"/>
    <n v="1147.0126500000003"/>
    <n v="1147.0126500000003"/>
    <n v="31"/>
    <n v="7.8750000000000001E-2"/>
    <x v="1"/>
  </r>
  <r>
    <x v="0"/>
    <n v="3302859"/>
    <n v="2531266"/>
    <n v="88284.1"/>
    <n v="3827.25"/>
    <n v="3525.8540625000001"/>
    <n v="301.3959375"/>
    <n v="301.3959375"/>
    <n v="301.3959375"/>
    <n v="31"/>
    <n v="7.8750000000000001E-2"/>
    <x v="1"/>
  </r>
  <r>
    <x v="0"/>
    <n v="3302859"/>
    <n v="2531271"/>
    <n v="101661.70000000001"/>
    <n v="6970.4199999999983"/>
    <n v="6421.4994249999982"/>
    <n v="548.92057499999987"/>
    <n v="548.92057499999987"/>
    <n v="548.92057499999987"/>
    <n v="31"/>
    <n v="7.8750000000000001E-2"/>
    <x v="1"/>
  </r>
  <r>
    <x v="0"/>
    <n v="3302859"/>
    <n v="2531267"/>
    <n v="141210.41999999998"/>
    <n v="14643.410000000003"/>
    <n v="13490.241462500004"/>
    <n v="1153.1685375000002"/>
    <n v="1153.1685375000002"/>
    <n v="1153.1685375000002"/>
    <n v="31"/>
    <n v="7.8750000000000001E-2"/>
    <x v="1"/>
  </r>
  <r>
    <x v="0"/>
    <n v="3312495"/>
    <n v="2607362"/>
    <n v="38761.25"/>
    <n v="6184.3899999999994"/>
    <n v="5697.3692874999997"/>
    <n v="487.02071249999995"/>
    <n v="487.02071249999995"/>
    <n v="487.02071249999995"/>
    <n v="30"/>
    <n v="7.8750000000000001E-2"/>
    <x v="2"/>
  </r>
  <r>
    <x v="0"/>
    <n v="3312495"/>
    <n v="2607360"/>
    <n v="29252"/>
    <n v="5602"/>
    <n v="5160.8424999999997"/>
    <n v="441.15750000000003"/>
    <n v="441.15750000000003"/>
    <n v="441.15750000000003"/>
    <n v="30"/>
    <n v="7.8750000000000001E-2"/>
    <x v="2"/>
  </r>
  <r>
    <x v="0"/>
    <n v="3312495"/>
    <n v="2607363"/>
    <n v="37442.25"/>
    <n v="3309.3499999999985"/>
    <n v="3048.7386874999988"/>
    <n v="260.61131249999988"/>
    <n v="260.61131249999988"/>
    <n v="260.61131249999988"/>
    <n v="30"/>
    <n v="7.8750000000000001E-2"/>
    <x v="2"/>
  </r>
  <r>
    <x v="0"/>
    <n v="3312495"/>
    <n v="2607364"/>
    <n v="26745"/>
    <n v="2056.9799999999996"/>
    <n v="1894.9928249999996"/>
    <n v="161.98717499999998"/>
    <n v="161.98717499999998"/>
    <n v="161.98717499999998"/>
    <n v="30"/>
    <n v="7.8750000000000001E-2"/>
    <x v="2"/>
  </r>
  <r>
    <x v="0"/>
    <n v="3312495"/>
    <n v="2607361"/>
    <n v="56905"/>
    <n v="9004.89"/>
    <n v="8295.7549124999987"/>
    <n v="709.13508749999994"/>
    <n v="709.13508749999994"/>
    <n v="709.13508749999994"/>
    <n v="30"/>
    <n v="7.8750000000000001E-2"/>
    <x v="2"/>
  </r>
  <r>
    <x v="0"/>
    <n v="3312495"/>
    <n v="2607365"/>
    <n v="43194.5"/>
    <n v="5562.8700000000026"/>
    <n v="5124.793987500002"/>
    <n v="438.07601250000022"/>
    <n v="438.07601250000022"/>
    <n v="438.07601250000022"/>
    <n v="30"/>
    <n v="7.8750000000000001E-2"/>
    <x v="2"/>
  </r>
  <r>
    <x v="0"/>
    <n v="3312495"/>
    <n v="2540252"/>
    <n v="44732.880000000005"/>
    <n v="5114.3300000000017"/>
    <n v="4711.5765125000016"/>
    <n v="402.75348750000012"/>
    <n v="402.75348750000012"/>
    <n v="402.75348750000012"/>
    <n v="30"/>
    <n v="7.8750000000000001E-2"/>
    <x v="2"/>
  </r>
  <r>
    <x v="0"/>
    <n v="3312495"/>
    <n v="2540249"/>
    <n v="40826.94000000001"/>
    <n v="4652.6399999999994"/>
    <n v="4286.2445999999991"/>
    <n v="366.39539999999994"/>
    <n v="366.39539999999994"/>
    <n v="366.39539999999994"/>
    <n v="30"/>
    <n v="7.8750000000000001E-2"/>
    <x v="2"/>
  </r>
  <r>
    <x v="0"/>
    <n v="3312495"/>
    <n v="2540253"/>
    <n v="42226"/>
    <n v="5726.8499999999985"/>
    <n v="5275.8605624999982"/>
    <n v="450.98943749999989"/>
    <n v="450.98943749999989"/>
    <n v="450.98943749999989"/>
    <n v="30"/>
    <n v="7.8750000000000001E-2"/>
    <x v="2"/>
  </r>
  <r>
    <x v="0"/>
    <n v="3312907"/>
    <n v="2648806"/>
    <n v="0"/>
    <n v="0"/>
    <n v="0"/>
    <n v="1650"/>
    <n v="1650"/>
    <n v="1650"/>
    <n v="30"/>
    <n v="0"/>
    <x v="3"/>
  </r>
  <r>
    <x v="0"/>
    <n v="3312907"/>
    <n v="2648809"/>
    <n v="0"/>
    <n v="0"/>
    <n v="0"/>
    <n v="1650"/>
    <n v="1650"/>
    <n v="1650"/>
    <n v="30"/>
    <n v="0"/>
    <x v="3"/>
  </r>
  <r>
    <x v="0"/>
    <n v="3105048"/>
    <n v="2251759"/>
    <n v="163065"/>
    <n v="8622.3799999999992"/>
    <n v="7070.3515999999991"/>
    <n v="1552.0283999999997"/>
    <n v="1552.0283999999997"/>
    <n v="1552.0283999999997"/>
    <n v="30"/>
    <n v="0.18"/>
    <x v="4"/>
  </r>
  <r>
    <x v="0"/>
    <n v="3105048"/>
    <n v="2640295"/>
    <n v="188663.2"/>
    <n v="7646.45"/>
    <n v="6270.088999999999"/>
    <n v="1376.3609999999999"/>
    <n v="1376.3609999999999"/>
    <n v="1376.3609999999999"/>
    <n v="30"/>
    <n v="0.18"/>
    <x v="4"/>
  </r>
  <r>
    <x v="0"/>
    <n v="3105048"/>
    <n v="2640167"/>
    <n v="176033"/>
    <n v="16652.95"/>
    <n v="13655.419"/>
    <n v="2997.5309999999999"/>
    <n v="2997.5309999999999"/>
    <n v="2997.5309999999999"/>
    <n v="30"/>
    <n v="0.18"/>
    <x v="4"/>
  </r>
  <r>
    <x v="0"/>
    <n v="3105048"/>
    <n v="2583764"/>
    <n v="194344.25"/>
    <n v="2600.29"/>
    <n v="2132.2377999999999"/>
    <n v="468.05219999999997"/>
    <n v="468.05219999999997"/>
    <n v="468.05219999999997"/>
    <n v="30"/>
    <n v="0.18"/>
    <x v="4"/>
  </r>
  <r>
    <x v="0"/>
    <n v="3105048"/>
    <n v="2640165"/>
    <n v="179753.13"/>
    <n v="7844.76"/>
    <n v="6432.7031999999999"/>
    <n v="1412.0568000000001"/>
    <n v="1412.0568000000001"/>
    <n v="1412.0568000000001"/>
    <n v="30"/>
    <n v="0.18"/>
    <x v="4"/>
  </r>
  <r>
    <x v="0"/>
    <n v="3105048"/>
    <n v="2380161"/>
    <n v="356724.5"/>
    <n v="17479.09"/>
    <n v="14332.853799999999"/>
    <n v="3146.2361999999998"/>
    <n v="3146.2361999999998"/>
    <n v="3146.2361999999998"/>
    <n v="30"/>
    <n v="0.18"/>
    <x v="4"/>
  </r>
  <r>
    <x v="0"/>
    <n v="3105048"/>
    <n v="2505008"/>
    <n v="133070.25"/>
    <n v="9299.0400000000009"/>
    <n v="7625.2128000000002"/>
    <n v="1673.8272000000002"/>
    <n v="1673.8272000000002"/>
    <n v="1673.8272000000002"/>
    <n v="30"/>
    <n v="0.18"/>
    <x v="4"/>
  </r>
  <r>
    <x v="0"/>
    <n v="3105048"/>
    <n v="2587093"/>
    <n v="341690.6"/>
    <n v="20756.330000000002"/>
    <n v="17020.190600000002"/>
    <n v="3736.1394"/>
    <n v="3736.1394"/>
    <n v="3736.1394"/>
    <n v="30"/>
    <n v="0.18"/>
    <x v="4"/>
  </r>
  <r>
    <x v="0"/>
    <n v="3105048"/>
    <n v="2583762"/>
    <n v="216461.4"/>
    <n v="5303.71"/>
    <n v="4349.0421999999999"/>
    <n v="954.66779999999994"/>
    <n v="954.66779999999994"/>
    <n v="954.66779999999994"/>
    <n v="30"/>
    <n v="0.18"/>
    <x v="4"/>
  </r>
  <r>
    <x v="0"/>
    <n v="3105048"/>
    <n v="2585467"/>
    <n v="98727.75"/>
    <n v="-1552.99"/>
    <n v="-1273.4517999999998"/>
    <n v="-279.53820000000002"/>
    <n v="-279.53820000000002"/>
    <n v="-279.53820000000002"/>
    <n v="30"/>
    <n v="0.18"/>
    <x v="4"/>
  </r>
  <r>
    <x v="0"/>
    <n v="3105048"/>
    <n v="2587086"/>
    <n v="87647.4"/>
    <n v="5098.45"/>
    <n v="4180.7289999999994"/>
    <n v="917.72099999999989"/>
    <n v="917.72099999999989"/>
    <n v="917.72099999999989"/>
    <n v="30"/>
    <n v="0.18"/>
    <x v="4"/>
  </r>
  <r>
    <x v="0"/>
    <n v="3105048"/>
    <n v="2476393"/>
    <n v="83046.600000000006"/>
    <n v="8032.6"/>
    <n v="6586.732"/>
    <n v="1445.8679999999999"/>
    <n v="1445.8679999999999"/>
    <n v="1445.8679999999999"/>
    <n v="30"/>
    <n v="0.18"/>
    <x v="4"/>
  </r>
  <r>
    <x v="0"/>
    <n v="3105048"/>
    <n v="2640291"/>
    <n v="313760"/>
    <n v="35440.93"/>
    <n v="29061.562599999997"/>
    <n v="6379.3674000000001"/>
    <n v="6379.3674000000001"/>
    <n v="6379.3674000000001"/>
    <n v="30"/>
    <n v="0.18"/>
    <x v="4"/>
  </r>
  <r>
    <x v="0"/>
    <n v="3105048"/>
    <n v="2615854"/>
    <n v="212716"/>
    <n v="9479.4599999999991"/>
    <n v="7773.1571999999987"/>
    <n v="1706.3027999999997"/>
    <n v="1706.3027999999997"/>
    <n v="1706.3027999999997"/>
    <n v="30"/>
    <n v="0.18"/>
    <x v="4"/>
  </r>
  <r>
    <x v="0"/>
    <n v="3105048"/>
    <n v="2476383"/>
    <n v="158291.20000000001"/>
    <n v="4577.8"/>
    <n v="3753.7959999999998"/>
    <n v="824.00400000000002"/>
    <n v="824.00400000000002"/>
    <n v="824.00400000000002"/>
    <n v="30"/>
    <n v="0.18"/>
    <x v="4"/>
  </r>
  <r>
    <x v="0"/>
    <n v="3105048"/>
    <n v="2640296"/>
    <n v="119313.92"/>
    <n v="5340.52"/>
    <n v="4379.2264000000005"/>
    <n v="961.29360000000008"/>
    <n v="961.29360000000008"/>
    <n v="961.29360000000008"/>
    <n v="30"/>
    <n v="0.18"/>
    <x v="4"/>
  </r>
  <r>
    <x v="0"/>
    <n v="3105048"/>
    <n v="2615856"/>
    <n v="151408.20000000001"/>
    <n v="9467.7000000000007"/>
    <n v="7763.5140000000001"/>
    <n v="1704.1860000000001"/>
    <n v="1704.1860000000001"/>
    <n v="1704.1860000000001"/>
    <n v="30"/>
    <n v="0.18"/>
    <x v="4"/>
  </r>
  <r>
    <x v="0"/>
    <n v="3105048"/>
    <n v="2476382"/>
    <n v="147978.79"/>
    <n v="3390.39"/>
    <n v="2780.1197999999999"/>
    <n v="610.27019999999993"/>
    <n v="610.27019999999993"/>
    <n v="610.27019999999993"/>
    <n v="30"/>
    <n v="0.18"/>
    <x v="4"/>
  </r>
  <r>
    <x v="0"/>
    <n v="3105048"/>
    <n v="2583763"/>
    <n v="151347.45000000001"/>
    <n v="7808.18"/>
    <n v="6402.7075999999997"/>
    <n v="1405.4724000000001"/>
    <n v="1405.4724000000001"/>
    <n v="1405.4724000000001"/>
    <n v="30"/>
    <n v="0.18"/>
    <x v="4"/>
  </r>
  <r>
    <x v="0"/>
    <n v="3105048"/>
    <n v="2221209"/>
    <n v="657442.25"/>
    <n v="13023.28"/>
    <n v="10679.089599999999"/>
    <n v="2344.1904"/>
    <n v="2344.1904"/>
    <n v="2344.1904"/>
    <n v="30"/>
    <n v="0.18"/>
    <x v="4"/>
  </r>
  <r>
    <x v="0"/>
    <n v="3105048"/>
    <n v="2587087"/>
    <n v="51695.199999999997"/>
    <n v="4167.05"/>
    <n v="3416.9809999999998"/>
    <n v="750.06899999999996"/>
    <n v="750.06899999999996"/>
    <n v="750.06899999999996"/>
    <n v="30"/>
    <n v="0.18"/>
    <x v="4"/>
  </r>
  <r>
    <x v="0"/>
    <n v="3105048"/>
    <n v="2476395"/>
    <n v="185793.15"/>
    <n v="7613.69"/>
    <n v="6243.2257999999993"/>
    <n v="1370.4641999999999"/>
    <n v="1370.4641999999999"/>
    <n v="1370.4641999999999"/>
    <n v="30"/>
    <n v="0.18"/>
    <x v="4"/>
  </r>
  <r>
    <x v="0"/>
    <n v="3105048"/>
    <n v="2476388"/>
    <n v="137285"/>
    <n v="12513.29"/>
    <n v="10260.897800000001"/>
    <n v="2252.3922000000002"/>
    <n v="2252.3922000000002"/>
    <n v="2252.3922000000002"/>
    <n v="30"/>
    <n v="0.18"/>
    <x v="4"/>
  </r>
  <r>
    <x v="0"/>
    <n v="3105048"/>
    <n v="2640300"/>
    <n v="76302.16"/>
    <n v="1868.6"/>
    <n v="1532.2519999999997"/>
    <n v="336.34799999999996"/>
    <n v="336.34799999999996"/>
    <n v="336.34799999999996"/>
    <n v="30"/>
    <n v="0.18"/>
    <x v="4"/>
  </r>
  <r>
    <x v="0"/>
    <n v="3105048"/>
    <n v="2587084"/>
    <n v="86260.6"/>
    <n v="2934.5"/>
    <n v="2406.29"/>
    <n v="528.21"/>
    <n v="528.21"/>
    <n v="528.21"/>
    <n v="30"/>
    <n v="0.18"/>
    <x v="4"/>
  </r>
  <r>
    <x v="0"/>
    <n v="3105048"/>
    <n v="2640384"/>
    <n v="417311.48"/>
    <n v="32720.35"/>
    <n v="26830.686999999998"/>
    <n v="5889.6629999999996"/>
    <n v="5889.6629999999996"/>
    <n v="5889.6629999999996"/>
    <n v="30"/>
    <n v="0.18"/>
    <x v="4"/>
  </r>
  <r>
    <x v="0"/>
    <n v="3105048"/>
    <n v="2476376"/>
    <n v="326139"/>
    <n v="17538.38"/>
    <n v="14381.471600000001"/>
    <n v="3156.9084000000003"/>
    <n v="3156.9084000000003"/>
    <n v="3156.9084000000003"/>
    <n v="30"/>
    <n v="0.18"/>
    <x v="4"/>
  </r>
  <r>
    <x v="0"/>
    <n v="3105048"/>
    <n v="2585464"/>
    <n v="123504"/>
    <n v="-8845.48"/>
    <n v="-7253.2935999999991"/>
    <n v="-1592.1863999999998"/>
    <n v="-1592.1863999999998"/>
    <n v="-1592.1863999999998"/>
    <n v="30"/>
    <n v="0.18"/>
    <x v="4"/>
  </r>
  <r>
    <x v="0"/>
    <n v="3105048"/>
    <n v="2585465"/>
    <n v="63785.25"/>
    <n v="5209.8500000000004"/>
    <n v="4272.0770000000002"/>
    <n v="937.77300000000002"/>
    <n v="937.77300000000002"/>
    <n v="937.77300000000002"/>
    <n v="30"/>
    <n v="0.18"/>
    <x v="4"/>
  </r>
  <r>
    <x v="0"/>
    <n v="3105048"/>
    <n v="2615860"/>
    <n v="21078.6"/>
    <n v="1645.48"/>
    <n v="1349.2936"/>
    <n v="296.18639999999999"/>
    <n v="296.18639999999999"/>
    <n v="296.18639999999999"/>
    <n v="30"/>
    <n v="0.18"/>
    <x v="4"/>
  </r>
  <r>
    <x v="0"/>
    <n v="3105048"/>
    <n v="2585471"/>
    <n v="361761.6"/>
    <n v="20253.09"/>
    <n v="16607.533799999997"/>
    <n v="3645.5562"/>
    <n v="3645.5562"/>
    <n v="3645.5562"/>
    <n v="30"/>
    <n v="0.18"/>
    <x v="4"/>
  </r>
  <r>
    <x v="0"/>
    <n v="3105048"/>
    <n v="2615859"/>
    <n v="89090.8"/>
    <n v="-7049.08"/>
    <n v="-5780.2455999999993"/>
    <n v="-1268.8344"/>
    <n v="-1268.8344"/>
    <n v="-1268.8344"/>
    <n v="30"/>
    <n v="0.18"/>
    <x v="4"/>
  </r>
  <r>
    <x v="0"/>
    <n v="3105048"/>
    <n v="2640164"/>
    <n v="153228.26999999999"/>
    <n v="5986.7"/>
    <n v="4909.0939999999991"/>
    <n v="1077.606"/>
    <n v="1077.606"/>
    <n v="1077.606"/>
    <n v="30"/>
    <n v="0.18"/>
    <x v="4"/>
  </r>
  <r>
    <x v="0"/>
    <n v="3105048"/>
    <n v="2615858"/>
    <n v="181410.8"/>
    <n v="15497.47"/>
    <n v="12707.925399999998"/>
    <n v="2789.5445999999997"/>
    <n v="2789.5445999999997"/>
    <n v="2789.5445999999997"/>
    <n v="30"/>
    <n v="0.18"/>
    <x v="4"/>
  </r>
  <r>
    <x v="0"/>
    <n v="3105048"/>
    <n v="2585472"/>
    <n v="304671.2"/>
    <n v="24238.55"/>
    <n v="19875.610999999997"/>
    <n v="4362.9389999999994"/>
    <n v="4362.9389999999994"/>
    <n v="4362.9389999999994"/>
    <n v="30"/>
    <n v="0.18"/>
    <x v="4"/>
  </r>
  <r>
    <x v="0"/>
    <n v="3105048"/>
    <n v="2587091"/>
    <n v="158789.70000000001"/>
    <n v="10188.64"/>
    <n v="8354.6847999999991"/>
    <n v="1833.9551999999999"/>
    <n v="1833.9551999999999"/>
    <n v="1833.9551999999999"/>
    <n v="30"/>
    <n v="0.18"/>
    <x v="4"/>
  </r>
  <r>
    <x v="0"/>
    <n v="3105048"/>
    <n v="2587096"/>
    <n v="312951.71999999997"/>
    <n v="7735.63"/>
    <n v="6343.2165999999997"/>
    <n v="1392.4133999999999"/>
    <n v="1392.4133999999999"/>
    <n v="1392.4133999999999"/>
    <n v="30"/>
    <n v="0.18"/>
    <x v="4"/>
  </r>
  <r>
    <x v="0"/>
    <n v="3105048"/>
    <n v="2587089"/>
    <n v="110080.2"/>
    <n v="1581.58"/>
    <n v="1296.8955999999998"/>
    <n v="284.68439999999998"/>
    <n v="284.68439999999998"/>
    <n v="284.68439999999998"/>
    <n v="30"/>
    <n v="0.18"/>
    <x v="4"/>
  </r>
  <r>
    <x v="0"/>
    <n v="3105048"/>
    <n v="2631734"/>
    <n v="167149.54999999999"/>
    <n v="2628.96"/>
    <n v="2155.7471999999998"/>
    <n v="473.21280000000002"/>
    <n v="473.21280000000002"/>
    <n v="473.21280000000002"/>
    <n v="30"/>
    <n v="0.18"/>
    <x v="4"/>
  </r>
  <r>
    <x v="0"/>
    <n v="3105048"/>
    <n v="2640301"/>
    <n v="182981.04"/>
    <n v="5536.09"/>
    <n v="4539.5937999999996"/>
    <n v="996.49620000000004"/>
    <n v="996.49620000000004"/>
    <n v="996.49620000000004"/>
    <n v="30"/>
    <n v="0.18"/>
    <x v="4"/>
  </r>
  <r>
    <x v="0"/>
    <n v="3105048"/>
    <n v="2640380"/>
    <n v="175051.4"/>
    <n v="9241.15"/>
    <n v="7577.7429999999995"/>
    <n v="1663.4069999999999"/>
    <n v="1663.4069999999999"/>
    <n v="1663.4069999999999"/>
    <n v="30"/>
    <n v="0.18"/>
    <x v="4"/>
  </r>
  <r>
    <x v="0"/>
    <n v="3105048"/>
    <n v="2640381"/>
    <n v="209327.58"/>
    <n v="7688.5"/>
    <n v="6304.57"/>
    <n v="1383.9299999999998"/>
    <n v="1383.9299999999998"/>
    <n v="1383.9299999999998"/>
    <n v="30"/>
    <n v="0.18"/>
    <x v="4"/>
  </r>
  <r>
    <x v="0"/>
    <n v="3105048"/>
    <n v="2587079"/>
    <n v="208230"/>
    <n v="1458.55"/>
    <n v="1196.011"/>
    <n v="262.53899999999999"/>
    <n v="262.53899999999999"/>
    <n v="262.53899999999999"/>
    <n v="30"/>
    <n v="0.18"/>
    <x v="4"/>
  </r>
  <r>
    <x v="0"/>
    <n v="3105048"/>
    <n v="2476397"/>
    <n v="151242.85"/>
    <n v="7597.82"/>
    <n v="6230.2123999999994"/>
    <n v="1367.6075999999998"/>
    <n v="1367.6075999999998"/>
    <n v="1367.6075999999998"/>
    <n v="30"/>
    <n v="0.18"/>
    <x v="4"/>
  </r>
  <r>
    <x v="0"/>
    <n v="3105048"/>
    <n v="2640168"/>
    <n v="171263"/>
    <n v="5300.31"/>
    <n v="4346.2542000000003"/>
    <n v="954.05580000000009"/>
    <n v="954.05580000000009"/>
    <n v="954.05580000000009"/>
    <n v="30"/>
    <n v="0.18"/>
    <x v="4"/>
  </r>
  <r>
    <x v="0"/>
    <n v="3105048"/>
    <n v="2587090"/>
    <n v="257820.08"/>
    <n v="10463.9"/>
    <n v="8580.3979999999992"/>
    <n v="1883.502"/>
    <n v="1883.502"/>
    <n v="1883.502"/>
    <n v="30"/>
    <n v="0.18"/>
    <x v="4"/>
  </r>
  <r>
    <x v="0"/>
    <n v="3105048"/>
    <n v="2640290"/>
    <n v="273060.2"/>
    <n v="13947.66"/>
    <n v="11437.081199999999"/>
    <n v="2510.5787999999998"/>
    <n v="2510.5787999999998"/>
    <n v="2510.5787999999998"/>
    <n v="30"/>
    <n v="0.18"/>
    <x v="4"/>
  </r>
  <r>
    <x v="0"/>
    <n v="3105048"/>
    <n v="2476384"/>
    <n v="146263.20000000001"/>
    <n v="12708.3"/>
    <n v="10420.805999999999"/>
    <n v="2287.4939999999997"/>
    <n v="2287.4939999999997"/>
    <n v="2287.4939999999997"/>
    <n v="30"/>
    <n v="0.18"/>
    <x v="4"/>
  </r>
  <r>
    <x v="0"/>
    <n v="3105048"/>
    <n v="2585469"/>
    <n v="188560.68"/>
    <n v="18673.98"/>
    <n v="15312.663599999998"/>
    <n v="3361.3163999999997"/>
    <n v="3361.3163999999997"/>
    <n v="3361.3163999999997"/>
    <n v="30"/>
    <n v="0.18"/>
    <x v="4"/>
  </r>
  <r>
    <x v="0"/>
    <n v="3105048"/>
    <n v="2585466"/>
    <n v="146919.75"/>
    <n v="5650.46"/>
    <n v="4633.3771999999999"/>
    <n v="1017.0828"/>
    <n v="1017.0828"/>
    <n v="1017.0828"/>
    <n v="30"/>
    <n v="0.18"/>
    <x v="4"/>
  </r>
  <r>
    <x v="0"/>
    <n v="3105048"/>
    <n v="2587078"/>
    <n v="204508.75"/>
    <n v="6137.88"/>
    <n v="5033.0616"/>
    <n v="1104.8183999999999"/>
    <n v="1104.8183999999999"/>
    <n v="1104.8183999999999"/>
    <n v="30"/>
    <n v="0.18"/>
    <x v="4"/>
  </r>
  <r>
    <x v="0"/>
    <n v="3105048"/>
    <n v="2485287"/>
    <n v="283716.81"/>
    <n v="12230.34"/>
    <n v="10028.8788"/>
    <n v="2201.4611999999997"/>
    <n v="2201.4611999999997"/>
    <n v="2201.4611999999997"/>
    <n v="30"/>
    <n v="0.18"/>
    <x v="4"/>
  </r>
  <r>
    <x v="0"/>
    <n v="3105048"/>
    <n v="2640286"/>
    <n v="439088.52"/>
    <n v="19077.32"/>
    <n v="15643.402399999999"/>
    <n v="3433.9175999999998"/>
    <n v="3433.9175999999998"/>
    <n v="3433.9175999999998"/>
    <n v="30"/>
    <n v="0.18"/>
    <x v="4"/>
  </r>
  <r>
    <x v="0"/>
    <n v="3105048"/>
    <n v="2476381"/>
    <n v="211446.16"/>
    <n v="4737.67"/>
    <n v="3884.8894"/>
    <n v="852.78059999999994"/>
    <n v="852.78059999999994"/>
    <n v="852.78059999999994"/>
    <n v="30"/>
    <n v="0.18"/>
    <x v="4"/>
  </r>
  <r>
    <x v="0"/>
    <n v="3105048"/>
    <n v="2640166"/>
    <n v="186350"/>
    <n v="11659.51"/>
    <n v="9560.7981999999993"/>
    <n v="2098.7118"/>
    <n v="2098.7118"/>
    <n v="2098.7118"/>
    <n v="30"/>
    <n v="0.18"/>
    <x v="4"/>
  </r>
  <r>
    <x v="0"/>
    <n v="3105048"/>
    <n v="2640287"/>
    <n v="312243.12"/>
    <n v="-17492.900000000001"/>
    <n v="-14344.178"/>
    <n v="-3148.7220000000002"/>
    <n v="-3148.7220000000002"/>
    <n v="-3148.7220000000002"/>
    <n v="30"/>
    <n v="0.18"/>
    <x v="4"/>
  </r>
  <r>
    <x v="0"/>
    <n v="3105048"/>
    <n v="2640292"/>
    <n v="178573.2"/>
    <n v="-16897.86"/>
    <n v="-13856.245199999999"/>
    <n v="-3041.6147999999998"/>
    <n v="-3041.6147999999998"/>
    <n v="-3041.6147999999998"/>
    <n v="30"/>
    <n v="0.18"/>
    <x v="4"/>
  </r>
  <r>
    <x v="0"/>
    <n v="3105048"/>
    <n v="2485286"/>
    <n v="189589"/>
    <n v="18798.34"/>
    <n v="15414.638799999999"/>
    <n v="3383.7012"/>
    <n v="3383.7012"/>
    <n v="3383.7012"/>
    <n v="30"/>
    <n v="0.18"/>
    <x v="4"/>
  </r>
  <r>
    <x v="0"/>
    <n v="3105048"/>
    <n v="2476390"/>
    <n v="171082"/>
    <n v="11525.33"/>
    <n v="9450.7705999999998"/>
    <n v="2074.5594000000001"/>
    <n v="2074.5594000000001"/>
    <n v="2074.5594000000001"/>
    <n v="30"/>
    <n v="0.18"/>
    <x v="4"/>
  </r>
  <r>
    <x v="0"/>
    <n v="3105048"/>
    <n v="2587095"/>
    <n v="246562.88"/>
    <n v="10825.03"/>
    <n v="8876.5246000000006"/>
    <n v="1948.5054"/>
    <n v="1948.5054"/>
    <n v="1948.5054"/>
    <n v="30"/>
    <n v="0.18"/>
    <x v="4"/>
  </r>
  <r>
    <x v="0"/>
    <n v="3105048"/>
    <n v="2476375"/>
    <n v="112659.39"/>
    <n v="10905.98"/>
    <n v="8942.9035999999996"/>
    <n v="1963.0763999999999"/>
    <n v="1963.0763999999999"/>
    <n v="1963.0763999999999"/>
    <n v="30"/>
    <n v="0.18"/>
    <x v="4"/>
  </r>
  <r>
    <x v="0"/>
    <n v="3105048"/>
    <n v="2640298"/>
    <n v="217787.68"/>
    <n v="-1668.68"/>
    <n v="-1368.3176000000001"/>
    <n v="-300.36239999999998"/>
    <n v="-300.36239999999998"/>
    <n v="-300.36239999999998"/>
    <n v="30"/>
    <n v="0.18"/>
    <x v="4"/>
  </r>
  <r>
    <x v="0"/>
    <n v="3105048"/>
    <n v="2587085"/>
    <n v="59365.2"/>
    <n v="4190.95"/>
    <n v="3436.5789999999997"/>
    <n v="754.37099999999998"/>
    <n v="754.37099999999998"/>
    <n v="754.37099999999998"/>
    <n v="30"/>
    <n v="0.18"/>
    <x v="4"/>
  </r>
  <r>
    <x v="0"/>
    <n v="3105048"/>
    <n v="2615857"/>
    <n v="211750.39999999999"/>
    <n v="24728.66"/>
    <n v="20277.501199999999"/>
    <n v="4451.1588000000002"/>
    <n v="4451.1588000000002"/>
    <n v="4451.1588000000002"/>
    <n v="30"/>
    <n v="0.18"/>
    <x v="4"/>
  </r>
  <r>
    <x v="0"/>
    <n v="3105048"/>
    <n v="2225542"/>
    <n v="576266.5"/>
    <n v="24639.77"/>
    <n v="20204.611399999998"/>
    <n v="4435.1585999999998"/>
    <n v="4435.1585999999998"/>
    <n v="4435.1585999999998"/>
    <n v="30"/>
    <n v="0.18"/>
    <x v="4"/>
  </r>
  <r>
    <x v="0"/>
    <n v="3105048"/>
    <n v="2476394"/>
    <n v="154713.60000000001"/>
    <n v="5242.49"/>
    <n v="4298.8417999999992"/>
    <n v="943.64819999999997"/>
    <n v="943.64819999999997"/>
    <n v="943.64819999999997"/>
    <n v="30"/>
    <n v="0.18"/>
    <x v="4"/>
  </r>
  <r>
    <x v="0"/>
    <n v="3105048"/>
    <n v="2476392"/>
    <n v="208049.6"/>
    <n v="12031.4"/>
    <n v="9865.7479999999996"/>
    <n v="2165.652"/>
    <n v="2165.652"/>
    <n v="2165.652"/>
    <n v="30"/>
    <n v="0.18"/>
    <x v="4"/>
  </r>
  <r>
    <x v="0"/>
    <n v="3105048"/>
    <n v="2459832"/>
    <n v="64643.4"/>
    <n v="3452.43"/>
    <n v="2830.9925999999996"/>
    <n v="621.43739999999991"/>
    <n v="621.43739999999991"/>
    <n v="621.43739999999991"/>
    <n v="30"/>
    <n v="0.18"/>
    <x v="4"/>
  </r>
  <r>
    <x v="0"/>
    <n v="3105048"/>
    <n v="2640297"/>
    <n v="108224.16"/>
    <n v="5388.9"/>
    <n v="4418.8979999999992"/>
    <n v="970.00199999999995"/>
    <n v="970.00199999999995"/>
    <n v="970.00199999999995"/>
    <n v="30"/>
    <n v="0.18"/>
    <x v="4"/>
  </r>
  <r>
    <x v="0"/>
    <n v="3105048"/>
    <n v="2640163"/>
    <n v="175680.82"/>
    <n v="11714.69"/>
    <n v="9606.0457999999999"/>
    <n v="2108.6442000000002"/>
    <n v="2108.6442000000002"/>
    <n v="2108.6442000000002"/>
    <n v="30"/>
    <n v="0.18"/>
    <x v="4"/>
  </r>
  <r>
    <x v="0"/>
    <n v="3105048"/>
    <n v="2587080"/>
    <n v="226158.75"/>
    <n v="10197.26"/>
    <n v="8361.7531999999992"/>
    <n v="1835.5067999999999"/>
    <n v="1835.5067999999999"/>
    <n v="1835.5067999999999"/>
    <n v="30"/>
    <n v="0.18"/>
    <x v="4"/>
  </r>
  <r>
    <x v="0"/>
    <n v="3105048"/>
    <n v="2585462"/>
    <n v="110261.25"/>
    <n v="-4026.47"/>
    <n v="-3301.7053999999998"/>
    <n v="-724.76459999999997"/>
    <n v="-724.76459999999997"/>
    <n v="-724.76459999999997"/>
    <n v="30"/>
    <n v="0.18"/>
    <x v="4"/>
  </r>
  <r>
    <x v="0"/>
    <n v="3105048"/>
    <n v="2380265"/>
    <n v="158713.20000000001"/>
    <n v="7985.74"/>
    <n v="6548.3067999999994"/>
    <n v="1437.4331999999999"/>
    <n v="1437.4331999999999"/>
    <n v="1437.4331999999999"/>
    <n v="30"/>
    <n v="0.18"/>
    <x v="4"/>
  </r>
  <r>
    <x v="0"/>
    <n v="3105048"/>
    <n v="2615861"/>
    <n v="200900.6"/>
    <n v="12378.95"/>
    <n v="10150.739"/>
    <n v="2228.2110000000002"/>
    <n v="2228.2110000000002"/>
    <n v="2228.2110000000002"/>
    <n v="30"/>
    <n v="0.18"/>
    <x v="4"/>
  </r>
  <r>
    <x v="0"/>
    <n v="3105048"/>
    <n v="2640379"/>
    <n v="198779.36"/>
    <n v="12374.73"/>
    <n v="10147.2786"/>
    <n v="2227.4513999999999"/>
    <n v="2227.4513999999999"/>
    <n v="2227.4513999999999"/>
    <n v="30"/>
    <n v="0.18"/>
    <x v="4"/>
  </r>
  <r>
    <x v="0"/>
    <n v="3105048"/>
    <n v="2640383"/>
    <n v="351316.16"/>
    <n v="24291.98"/>
    <n v="19919.423599999998"/>
    <n v="4372.5563999999995"/>
    <n v="4372.5563999999995"/>
    <n v="4372.5563999999995"/>
    <n v="30"/>
    <n v="0.18"/>
    <x v="4"/>
  </r>
  <r>
    <x v="0"/>
    <n v="3105048"/>
    <n v="2615855"/>
    <n v="176737.8"/>
    <n v="4325.54"/>
    <n v="3546.9427999999998"/>
    <n v="778.59719999999993"/>
    <n v="778.59719999999993"/>
    <n v="778.59719999999993"/>
    <n v="30"/>
    <n v="0.18"/>
    <x v="4"/>
  </r>
  <r>
    <x v="0"/>
    <n v="3105048"/>
    <n v="2476398"/>
    <n v="313280.69"/>
    <n v="10535.42"/>
    <n v="8639.0443999999989"/>
    <n v="1896.3755999999998"/>
    <n v="1896.3755999999998"/>
    <n v="1896.3755999999998"/>
    <n v="30"/>
    <n v="0.18"/>
    <x v="4"/>
  </r>
  <r>
    <x v="0"/>
    <n v="3105048"/>
    <n v="2476387"/>
    <n v="288865.15000000002"/>
    <n v="7215.67"/>
    <n v="5916.8494000000001"/>
    <n v="1298.8206"/>
    <n v="1298.8206"/>
    <n v="1298.8206"/>
    <n v="30"/>
    <n v="0.18"/>
    <x v="4"/>
  </r>
  <r>
    <x v="0"/>
    <n v="3105048"/>
    <n v="2459829"/>
    <n v="109291.68"/>
    <n v="4023.1"/>
    <n v="3298.9419999999996"/>
    <n v="724.1579999999999"/>
    <n v="724.1579999999999"/>
    <n v="724.1579999999999"/>
    <n v="30"/>
    <n v="0.18"/>
    <x v="4"/>
  </r>
  <r>
    <x v="0"/>
    <n v="3105048"/>
    <n v="2476386"/>
    <n v="177765.92"/>
    <n v="6154.94"/>
    <n v="5047.0507999999991"/>
    <n v="1107.8891999999998"/>
    <n v="1107.8891999999998"/>
    <n v="1107.8891999999998"/>
    <n v="30"/>
    <n v="0.18"/>
    <x v="4"/>
  </r>
  <r>
    <x v="0"/>
    <n v="3105048"/>
    <n v="2640294"/>
    <n v="290091.40000000002"/>
    <n v="12361.06"/>
    <n v="10136.069199999998"/>
    <n v="2224.9908"/>
    <n v="2224.9908"/>
    <n v="2224.9908"/>
    <n v="30"/>
    <n v="0.18"/>
    <x v="4"/>
  </r>
  <r>
    <x v="0"/>
    <n v="3105048"/>
    <n v="2585468"/>
    <n v="119616.75"/>
    <n v="8783.84"/>
    <n v="7202.7487999999994"/>
    <n v="1581.0912000000001"/>
    <n v="1581.0912000000001"/>
    <n v="1581.0912000000001"/>
    <n v="30"/>
    <n v="0.18"/>
    <x v="4"/>
  </r>
  <r>
    <x v="0"/>
    <n v="3105048"/>
    <n v="2505002"/>
    <n v="189447.95"/>
    <n v="12109.7"/>
    <n v="9929.9539999999997"/>
    <n v="2179.7460000000001"/>
    <n v="2179.7460000000001"/>
    <n v="2179.7460000000001"/>
    <n v="30"/>
    <n v="0.18"/>
    <x v="4"/>
  </r>
  <r>
    <x v="0"/>
    <n v="3105048"/>
    <n v="2583765"/>
    <n v="157847.54999999999"/>
    <n v="11851.59"/>
    <n v="9718.3037999999997"/>
    <n v="2133.2862"/>
    <n v="2133.2862"/>
    <n v="2133.2862"/>
    <n v="30"/>
    <n v="0.18"/>
    <x v="4"/>
  </r>
  <r>
    <x v="0"/>
    <n v="3105048"/>
    <n v="2459830"/>
    <n v="105733.08"/>
    <n v="2956.96"/>
    <n v="2424.7071999999998"/>
    <n v="532.25279999999998"/>
    <n v="532.25279999999998"/>
    <n v="532.25279999999998"/>
    <n v="30"/>
    <n v="0.18"/>
    <x v="4"/>
  </r>
  <r>
    <x v="0"/>
    <n v="3105048"/>
    <n v="2459833"/>
    <n v="98529.75"/>
    <n v="5340.17"/>
    <n v="4378.9394000000002"/>
    <n v="961.23059999999998"/>
    <n v="961.23059999999998"/>
    <n v="961.23059999999998"/>
    <n v="30"/>
    <n v="0.18"/>
    <x v="4"/>
  </r>
  <r>
    <x v="0"/>
    <n v="3105048"/>
    <n v="2587082"/>
    <n v="206484.58"/>
    <n v="8593.9"/>
    <n v="7046.9979999999996"/>
    <n v="1546.9019999999998"/>
    <n v="1546.9019999999998"/>
    <n v="1546.9019999999998"/>
    <n v="30"/>
    <n v="0.18"/>
    <x v="4"/>
  </r>
  <r>
    <x v="0"/>
    <n v="3105048"/>
    <n v="2587088"/>
    <n v="87974.6"/>
    <n v="-5159.37"/>
    <n v="-4230.6833999999999"/>
    <n v="-928.6866"/>
    <n v="-928.6866"/>
    <n v="-928.6866"/>
    <n v="30"/>
    <n v="0.18"/>
    <x v="4"/>
  </r>
  <r>
    <x v="0"/>
    <n v="3105048"/>
    <n v="2476396"/>
    <n v="112060.4"/>
    <n v="7989.61"/>
    <n v="6551.4801999999991"/>
    <n v="1438.1297999999999"/>
    <n v="1438.1297999999999"/>
    <n v="1438.1297999999999"/>
    <n v="30"/>
    <n v="0.18"/>
    <x v="4"/>
  </r>
  <r>
    <x v="0"/>
    <n v="3105048"/>
    <n v="2476391"/>
    <n v="155122.85999999999"/>
    <n v="5925.04"/>
    <n v="4858.5328"/>
    <n v="1066.5072"/>
    <n v="1066.5072"/>
    <n v="1066.5072"/>
    <n v="30"/>
    <n v="0.18"/>
    <x v="4"/>
  </r>
  <r>
    <x v="0"/>
    <n v="3105048"/>
    <n v="2221210"/>
    <n v="489399.25"/>
    <n v="4640.25"/>
    <n v="3805.0049999999997"/>
    <n v="835.245"/>
    <n v="835.245"/>
    <n v="835.245"/>
    <n v="30"/>
    <n v="0.18"/>
    <x v="4"/>
  </r>
  <r>
    <x v="0"/>
    <n v="3105048"/>
    <n v="2640288"/>
    <n v="303731.20000000001"/>
    <n v="11861.31"/>
    <n v="9726.2741999999998"/>
    <n v="2135.0357999999997"/>
    <n v="2135.0357999999997"/>
    <n v="2135.0357999999997"/>
    <n v="30"/>
    <n v="0.18"/>
    <x v="4"/>
  </r>
  <r>
    <x v="0"/>
    <n v="3105048"/>
    <n v="2640285"/>
    <n v="355356.68"/>
    <n v="-2681.59"/>
    <n v="-2198.9038"/>
    <n v="-482.68619999999999"/>
    <n v="-482.68619999999999"/>
    <n v="-482.68619999999999"/>
    <n v="30"/>
    <n v="0.18"/>
    <x v="4"/>
  </r>
  <r>
    <x v="0"/>
    <n v="3105048"/>
    <n v="2485285"/>
    <n v="224889"/>
    <n v="21246.55"/>
    <n v="17422.170999999998"/>
    <n v="3824.3789999999999"/>
    <n v="3824.3789999999999"/>
    <n v="3824.3789999999999"/>
    <n v="30"/>
    <n v="0.18"/>
    <x v="4"/>
  </r>
  <r>
    <x v="0"/>
    <n v="3105048"/>
    <n v="2587081"/>
    <n v="299705.02"/>
    <n v="16786.38"/>
    <n v="13764.8316"/>
    <n v="3021.5484000000001"/>
    <n v="3021.5484000000001"/>
    <n v="3021.5484000000001"/>
    <n v="30"/>
    <n v="0.18"/>
    <x v="4"/>
  </r>
  <r>
    <x v="0"/>
    <n v="3105048"/>
    <n v="2587083"/>
    <n v="246287.02"/>
    <n v="3493.71"/>
    <n v="2864.8422"/>
    <n v="628.86779999999999"/>
    <n v="628.86779999999999"/>
    <n v="628.86779999999999"/>
    <n v="30"/>
    <n v="0.18"/>
    <x v="4"/>
  </r>
  <r>
    <x v="0"/>
    <n v="3105048"/>
    <n v="2505003"/>
    <n v="114165"/>
    <n v="2430.5"/>
    <n v="1993.01"/>
    <n v="437.49"/>
    <n v="437.49"/>
    <n v="437.49"/>
    <n v="30"/>
    <n v="0.18"/>
    <x v="4"/>
  </r>
  <r>
    <x v="0"/>
    <n v="3105048"/>
    <n v="2459828"/>
    <n v="113743.71"/>
    <n v="6997.34"/>
    <n v="5737.8188"/>
    <n v="1259.5211999999999"/>
    <n v="1259.5211999999999"/>
    <n v="1259.5211999999999"/>
    <n v="30"/>
    <n v="0.18"/>
    <x v="4"/>
  </r>
  <r>
    <x v="0"/>
    <n v="3105048"/>
    <n v="2587094"/>
    <n v="290676.64"/>
    <n v="20832.38"/>
    <n v="17082.551599999999"/>
    <n v="3749.8283999999999"/>
    <n v="3749.8283999999999"/>
    <n v="3749.8283999999999"/>
    <n v="30"/>
    <n v="0.18"/>
    <x v="4"/>
  </r>
  <r>
    <x v="0"/>
    <n v="3105048"/>
    <n v="2583766"/>
    <n v="146322.4"/>
    <n v="5176.04"/>
    <n v="4244.3527999999997"/>
    <n v="931.68719999999996"/>
    <n v="931.68719999999996"/>
    <n v="931.68719999999996"/>
    <n v="30"/>
    <n v="0.18"/>
    <x v="4"/>
  </r>
  <r>
    <x v="0"/>
    <n v="3105048"/>
    <n v="2640289"/>
    <n v="253058"/>
    <n v="16460.900000000001"/>
    <n v="13497.938"/>
    <n v="2962.962"/>
    <n v="2962.962"/>
    <n v="2962.962"/>
    <n v="30"/>
    <n v="0.18"/>
    <x v="4"/>
  </r>
  <r>
    <x v="0"/>
    <n v="3105048"/>
    <n v="2459831"/>
    <n v="153052.47"/>
    <n v="1917.74"/>
    <n v="1572.5467999999998"/>
    <n v="345.19319999999999"/>
    <n v="345.19319999999999"/>
    <n v="345.19319999999999"/>
    <n v="30"/>
    <n v="0.18"/>
    <x v="4"/>
  </r>
  <r>
    <x v="0"/>
    <n v="3105048"/>
    <n v="2587097"/>
    <n v="292754.32"/>
    <n v="27023.56"/>
    <n v="22159.319199999998"/>
    <n v="4864.2408000000005"/>
    <n v="4864.2408000000005"/>
    <n v="4864.2408000000005"/>
    <n v="30"/>
    <n v="0.18"/>
    <x v="4"/>
  </r>
  <r>
    <x v="0"/>
    <n v="3105048"/>
    <n v="2641002"/>
    <n v="87761.35"/>
    <n v="3392.6"/>
    <n v="2781.9319999999998"/>
    <n v="610.66800000000001"/>
    <n v="610.66800000000001"/>
    <n v="610.66800000000001"/>
    <n v="30"/>
    <n v="0.18"/>
    <x v="4"/>
  </r>
  <r>
    <x v="0"/>
    <n v="3105048"/>
    <n v="2585463"/>
    <n v="82243.5"/>
    <n v="6501.46"/>
    <n v="5331.1971999999996"/>
    <n v="1170.2628"/>
    <n v="1170.2628"/>
    <n v="1170.2628"/>
    <n v="30"/>
    <n v="0.18"/>
    <x v="4"/>
  </r>
  <r>
    <x v="0"/>
    <n v="3105048"/>
    <n v="2587092"/>
    <n v="259177.98"/>
    <n v="7981.19"/>
    <n v="6544.5757999999996"/>
    <n v="1436.6142"/>
    <n v="1436.6142"/>
    <n v="1436.6142"/>
    <n v="30"/>
    <n v="0.18"/>
    <x v="4"/>
  </r>
  <r>
    <x v="0"/>
    <n v="3105048"/>
    <n v="2585461"/>
    <n v="82458"/>
    <n v="-3023.69"/>
    <n v="-2479.4258"/>
    <n v="-544.26419999999996"/>
    <n v="-544.26419999999996"/>
    <n v="-544.26419999999996"/>
    <n v="30"/>
    <n v="0.18"/>
    <x v="4"/>
  </r>
  <r>
    <x v="0"/>
    <n v="3105048"/>
    <n v="2583761"/>
    <n v="137838.04999999999"/>
    <n v="-2453.65"/>
    <n v="-2011.9929999999999"/>
    <n v="-441.65699999999998"/>
    <n v="-441.65699999999998"/>
    <n v="-441.65699999999998"/>
    <n v="30"/>
    <n v="0.18"/>
    <x v="4"/>
  </r>
  <r>
    <x v="0"/>
    <n v="3105048"/>
    <n v="2640299"/>
    <n v="170616.16"/>
    <n v="13871.26"/>
    <n v="11374.433199999999"/>
    <n v="2496.8267999999998"/>
    <n v="2496.8267999999998"/>
    <n v="2496.8267999999998"/>
    <n v="30"/>
    <n v="0.18"/>
    <x v="4"/>
  </r>
  <r>
    <x v="0"/>
    <n v="3105048"/>
    <n v="2476389"/>
    <n v="194176"/>
    <n v="12886.98"/>
    <n v="10567.3236"/>
    <n v="2319.6563999999998"/>
    <n v="2319.6563999999998"/>
    <n v="2319.6563999999998"/>
    <n v="30"/>
    <n v="0.18"/>
    <x v="4"/>
  </r>
  <r>
    <x v="0"/>
    <n v="3105048"/>
    <n v="2585470"/>
    <n v="191559.72"/>
    <n v="6585.87"/>
    <n v="5400.4133999999995"/>
    <n v="1185.4566"/>
    <n v="1185.4566"/>
    <n v="1185.4566"/>
    <n v="30"/>
    <n v="0.18"/>
    <x v="4"/>
  </r>
  <r>
    <x v="0"/>
    <n v="3105048"/>
    <n v="2640382"/>
    <n v="430836.84"/>
    <n v="24653.48"/>
    <n v="20215.853599999999"/>
    <n v="4437.6264000000001"/>
    <n v="4437.6264000000001"/>
    <n v="4437.6264000000001"/>
    <n v="30"/>
    <n v="0.18"/>
    <x v="4"/>
  </r>
  <r>
    <x v="0"/>
    <n v="3105048"/>
    <n v="2640293"/>
    <n v="266700.2"/>
    <n v="16031.32"/>
    <n v="13145.6824"/>
    <n v="2885.6376"/>
    <n v="2885.6376"/>
    <n v="2885.6376"/>
    <n v="30"/>
    <n v="0.18"/>
    <x v="4"/>
  </r>
  <r>
    <x v="0"/>
    <n v="3105048"/>
    <n v="2437275"/>
    <n v="120108.75"/>
    <n v="9686.0499999999993"/>
    <n v="7942.5609999999988"/>
    <n v="1743.4889999999998"/>
    <n v="1743.4889999999998"/>
    <n v="1743.4889999999998"/>
    <n v="30"/>
    <n v="0.18"/>
    <x v="4"/>
  </r>
  <r>
    <x v="0"/>
    <n v="3105048"/>
    <n v="2437276"/>
    <n v="155456.25"/>
    <n v="1478.55"/>
    <n v="1212.4109999999998"/>
    <n v="266.13900000000001"/>
    <n v="266.13900000000001"/>
    <n v="266.13900000000001"/>
    <n v="30"/>
    <n v="0.18"/>
    <x v="4"/>
  </r>
  <r>
    <x v="0"/>
    <n v="3105048"/>
    <n v="2437272"/>
    <n v="137275.25"/>
    <n v="8187.35"/>
    <n v="6713.6269999999995"/>
    <n v="1473.723"/>
    <n v="1473.723"/>
    <n v="1473.723"/>
    <n v="30"/>
    <n v="0.18"/>
    <x v="4"/>
  </r>
  <r>
    <x v="0"/>
    <n v="3105048"/>
    <n v="2437273"/>
    <n v="211979.75"/>
    <n v="10574.35"/>
    <n v="8670.9670000000006"/>
    <n v="1903.383"/>
    <n v="1903.383"/>
    <n v="1903.383"/>
    <n v="30"/>
    <n v="0.18"/>
    <x v="4"/>
  </r>
  <r>
    <x v="0"/>
    <n v="3105048"/>
    <n v="2437271"/>
    <n v="139436.25"/>
    <n v="4921.17"/>
    <n v="4035.3593999999998"/>
    <n v="885.81060000000002"/>
    <n v="885.81060000000002"/>
    <n v="885.81060000000002"/>
    <n v="30"/>
    <n v="0.18"/>
    <x v="4"/>
  </r>
  <r>
    <x v="0"/>
    <n v="3105048"/>
    <n v="2437274"/>
    <n v="198067"/>
    <n v="3324.25"/>
    <n v="2725.8849999999998"/>
    <n v="598.36500000000001"/>
    <n v="598.36500000000001"/>
    <n v="598.36500000000001"/>
    <n v="30"/>
    <n v="0.18"/>
    <x v="4"/>
  </r>
  <r>
    <x v="0"/>
    <n v="3105048"/>
    <n v="2640999"/>
    <n v="200499.25"/>
    <n v="17387.22"/>
    <n v="14257.520399999999"/>
    <n v="3129.6995999999999"/>
    <n v="3129.6995999999999"/>
    <n v="3129.6995999999999"/>
    <n v="30"/>
    <n v="0.18"/>
    <x v="4"/>
  </r>
  <r>
    <x v="0"/>
    <n v="3105048"/>
    <n v="2366889"/>
    <n v="123933.75"/>
    <n v="7204.72"/>
    <n v="5907.8703999999998"/>
    <n v="1296.8496"/>
    <n v="1296.8496"/>
    <n v="1296.8496"/>
    <n v="30"/>
    <n v="0.18"/>
    <x v="4"/>
  </r>
  <r>
    <x v="0"/>
    <n v="3105048"/>
    <n v="2392470"/>
    <n v="105719.5"/>
    <n v="4258.8"/>
    <n v="3492.2159999999999"/>
    <n v="766.58400000000006"/>
    <n v="766.58400000000006"/>
    <n v="766.58400000000006"/>
    <n v="30"/>
    <n v="0.18"/>
    <x v="4"/>
  </r>
  <r>
    <x v="0"/>
    <n v="3105048"/>
    <n v="2631733"/>
    <n v="422486.25"/>
    <n v="19888.25"/>
    <n v="16308.365"/>
    <n v="3579.8849999999998"/>
    <n v="3579.8849999999998"/>
    <n v="3579.8849999999998"/>
    <n v="30"/>
    <n v="0.18"/>
    <x v="4"/>
  </r>
  <r>
    <x v="0"/>
    <n v="3105048"/>
    <n v="2641000"/>
    <n v="230063.75"/>
    <n v="18932.79"/>
    <n v="15524.8878"/>
    <n v="3407.9022"/>
    <n v="3407.9022"/>
    <n v="3407.9022"/>
    <n v="30"/>
    <n v="0.18"/>
    <x v="4"/>
  </r>
  <r>
    <x v="0"/>
    <n v="3105048"/>
    <n v="2392471"/>
    <n v="77039"/>
    <n v="-20178.48"/>
    <n v="-16546.353599999999"/>
    <n v="-3632.1263999999996"/>
    <n v="-3632.1263999999996"/>
    <n v="-3632.1263999999996"/>
    <n v="30"/>
    <n v="0.18"/>
    <x v="4"/>
  </r>
  <r>
    <x v="0"/>
    <n v="3105048"/>
    <n v="2366890"/>
    <n v="90148.75"/>
    <n v="2256.9699999999998"/>
    <n v="1850.7153999999998"/>
    <n v="406.25459999999993"/>
    <n v="406.25459999999993"/>
    <n v="406.25459999999993"/>
    <n v="30"/>
    <n v="0.18"/>
    <x v="4"/>
  </r>
  <r>
    <x v="0"/>
    <n v="3105048"/>
    <n v="2641001"/>
    <n v="87041"/>
    <n v="-2397.75"/>
    <n v="-1966.155"/>
    <n v="-431.59499999999997"/>
    <n v="-431.59499999999997"/>
    <n v="-431.59499999999997"/>
    <n v="29"/>
    <n v="0.18"/>
    <x v="4"/>
  </r>
  <r>
    <x v="0"/>
    <n v="3105048"/>
    <n v="2391275"/>
    <n v="225951"/>
    <n v="11904.51"/>
    <n v="9761.6981999999989"/>
    <n v="2142.8117999999999"/>
    <n v="2142.8117999999999"/>
    <n v="2142.8117999999999"/>
    <n v="30"/>
    <n v="0.18"/>
    <x v="4"/>
  </r>
  <r>
    <x v="0"/>
    <n v="3105048"/>
    <n v="2375787"/>
    <n v="134109"/>
    <n v="2609.71"/>
    <n v="2139.9621999999999"/>
    <n v="469.74779999999998"/>
    <n v="469.74779999999998"/>
    <n v="469.74779999999998"/>
    <n v="30"/>
    <n v="0.18"/>
    <x v="4"/>
  </r>
  <r>
    <x v="0"/>
    <n v="3105048"/>
    <n v="2391830"/>
    <n v="145750"/>
    <n v="12162"/>
    <n v="9972.84"/>
    <n v="2189.16"/>
    <n v="2189.16"/>
    <n v="2189.16"/>
    <n v="30"/>
    <n v="0.18"/>
    <x v="4"/>
  </r>
  <r>
    <x v="0"/>
    <n v="3105048"/>
    <n v="2369720"/>
    <n v="147979"/>
    <n v="5412.41"/>
    <n v="4438.1761999999999"/>
    <n v="974.23379999999997"/>
    <n v="974.23379999999997"/>
    <n v="974.23379999999997"/>
    <n v="30"/>
    <n v="0.18"/>
    <x v="4"/>
  </r>
  <r>
    <x v="0"/>
    <n v="3105048"/>
    <n v="2383448"/>
    <n v="352452"/>
    <n v="7444.44"/>
    <n v="6104.4407999999994"/>
    <n v="1339.9992"/>
    <n v="1339.9992"/>
    <n v="1339.9992"/>
    <n v="30"/>
    <n v="0.18"/>
    <x v="4"/>
  </r>
  <r>
    <x v="0"/>
    <n v="3105048"/>
    <n v="2391273"/>
    <n v="162242"/>
    <n v="16787"/>
    <n v="13765.339999999998"/>
    <n v="3021.66"/>
    <n v="3021.66"/>
    <n v="3021.66"/>
    <n v="30"/>
    <n v="0.18"/>
    <x v="4"/>
  </r>
  <r>
    <x v="0"/>
    <n v="3105048"/>
    <n v="2400983"/>
    <n v="171405"/>
    <n v="14647.88"/>
    <n v="12011.261599999998"/>
    <n v="2636.6183999999998"/>
    <n v="2636.6183999999998"/>
    <n v="2636.6183999999998"/>
    <n v="30"/>
    <n v="0.18"/>
    <x v="4"/>
  </r>
  <r>
    <x v="0"/>
    <n v="3105048"/>
    <n v="2383446"/>
    <n v="339156"/>
    <n v="11933.27"/>
    <n v="9785.2813999999998"/>
    <n v="2147.9886000000001"/>
    <n v="2147.9886000000001"/>
    <n v="2147.9886000000001"/>
    <n v="30"/>
    <n v="0.18"/>
    <x v="4"/>
  </r>
  <r>
    <x v="0"/>
    <n v="3105048"/>
    <n v="2405553"/>
    <n v="106305"/>
    <n v="17160.3"/>
    <n v="14071.445999999998"/>
    <n v="3088.8539999999998"/>
    <n v="3088.8539999999998"/>
    <n v="3088.8539999999998"/>
    <n v="30"/>
    <n v="0.18"/>
    <x v="4"/>
  </r>
  <r>
    <x v="0"/>
    <n v="3105048"/>
    <n v="2405953"/>
    <n v="180815"/>
    <n v="-5581.47"/>
    <n v="-4576.8054000000002"/>
    <n v="-1004.6646000000001"/>
    <n v="-1004.6646000000001"/>
    <n v="-1004.6646000000001"/>
    <n v="30"/>
    <n v="0.18"/>
    <x v="4"/>
  </r>
  <r>
    <x v="0"/>
    <n v="3105048"/>
    <n v="2120752"/>
    <n v="164360"/>
    <n v="22743"/>
    <n v="18649.259999999998"/>
    <n v="4093.74"/>
    <n v="4093.74"/>
    <n v="4093.74"/>
    <n v="30"/>
    <n v="0.18"/>
    <x v="4"/>
  </r>
  <r>
    <x v="0"/>
    <n v="3105048"/>
    <n v="2264385"/>
    <n v="105101"/>
    <n v="3121"/>
    <n v="2559.2199999999998"/>
    <n v="561.78"/>
    <n v="561.78"/>
    <n v="561.78"/>
    <n v="30"/>
    <n v="0.18"/>
    <x v="4"/>
  </r>
  <r>
    <x v="0"/>
    <n v="3105048"/>
    <n v="2370291"/>
    <n v="224994"/>
    <n v="10563"/>
    <n v="8661.66"/>
    <n v="1901.34"/>
    <n v="1901.34"/>
    <n v="1901.34"/>
    <n v="30"/>
    <n v="0.18"/>
    <x v="4"/>
  </r>
  <r>
    <x v="0"/>
    <n v="3105048"/>
    <n v="2410246"/>
    <n v="167224"/>
    <n v="26573.18"/>
    <n v="21790.007599999997"/>
    <n v="4783.1723999999995"/>
    <n v="4783.1723999999995"/>
    <n v="4783.1723999999995"/>
    <n v="30"/>
    <n v="0.18"/>
    <x v="4"/>
  </r>
  <r>
    <x v="0"/>
    <n v="3105048"/>
    <n v="2409282"/>
    <n v="44643"/>
    <n v="-6252"/>
    <n v="-5126.6399999999994"/>
    <n v="-1125.3599999999999"/>
    <n v="-1125.3599999999999"/>
    <n v="-1125.3599999999999"/>
    <n v="30"/>
    <n v="0.18"/>
    <x v="4"/>
  </r>
  <r>
    <x v="0"/>
    <n v="3105048"/>
    <n v="2391277"/>
    <n v="107950"/>
    <n v="9591.7800000000007"/>
    <n v="7865.2596000000003"/>
    <n v="1726.5204000000001"/>
    <n v="1726.5204000000001"/>
    <n v="1726.5204000000001"/>
    <n v="30"/>
    <n v="0.18"/>
    <x v="4"/>
  </r>
  <r>
    <x v="0"/>
    <n v="3105048"/>
    <n v="2638170"/>
    <n v="194885"/>
    <n v="15852.47"/>
    <n v="12999.025399999999"/>
    <n v="2853.4445999999998"/>
    <n v="2853.4445999999998"/>
    <n v="2853.4445999999998"/>
    <n v="30"/>
    <n v="0.18"/>
    <x v="4"/>
  </r>
  <r>
    <x v="0"/>
    <n v="3105048"/>
    <n v="2201435"/>
    <n v="135310"/>
    <n v="7745.5"/>
    <n v="6351.3099999999995"/>
    <n v="1394.19"/>
    <n v="1394.19"/>
    <n v="1394.19"/>
    <n v="30"/>
    <n v="0.18"/>
    <x v="4"/>
  </r>
  <r>
    <x v="0"/>
    <n v="3105048"/>
    <n v="1970517"/>
    <n v="201940"/>
    <n v="10624"/>
    <n v="8711.68"/>
    <n v="1912.32"/>
    <n v="1912.32"/>
    <n v="1912.32"/>
    <n v="30"/>
    <n v="0.18"/>
    <x v="4"/>
  </r>
  <r>
    <x v="0"/>
    <n v="3105048"/>
    <n v="2638169"/>
    <n v="145050"/>
    <n v="-1545"/>
    <n v="-1266.8999999999999"/>
    <n v="-278.09999999999997"/>
    <n v="-278.09999999999997"/>
    <n v="-278.09999999999997"/>
    <n v="30"/>
    <n v="0.18"/>
    <x v="4"/>
  </r>
  <r>
    <x v="0"/>
    <n v="3105048"/>
    <n v="1916633"/>
    <n v="108695"/>
    <n v="17150"/>
    <n v="14063"/>
    <n v="3087"/>
    <n v="3087"/>
    <n v="3087"/>
    <n v="30"/>
    <n v="0.18"/>
    <x v="4"/>
  </r>
  <r>
    <x v="0"/>
    <n v="3105048"/>
    <n v="2177496"/>
    <n v="159625"/>
    <n v="14921"/>
    <n v="12235.22"/>
    <n v="2685.7799999999997"/>
    <n v="2685.7799999999997"/>
    <n v="2685.7799999999997"/>
    <n v="30"/>
    <n v="0.18"/>
    <x v="4"/>
  </r>
  <r>
    <x v="0"/>
    <n v="3118229"/>
    <n v="2593218"/>
    <n v="540922"/>
    <n v="12291.52"/>
    <n v="10447.791999999999"/>
    <n v="1843.7280000000005"/>
    <n v="1843.7280000000005"/>
    <n v="1843.7280000000005"/>
    <n v="30"/>
    <n v="0.15"/>
    <x v="5"/>
  </r>
  <r>
    <x v="0"/>
    <n v="3118229"/>
    <n v="2593219"/>
    <n v="446552.8"/>
    <n v="30123.289999999994"/>
    <n v="25604.796499999997"/>
    <n v="4518.4934999999987"/>
    <n v="4518.4934999999987"/>
    <n v="4518.4934999999987"/>
    <n v="30"/>
    <n v="0.15"/>
    <x v="5"/>
  </r>
  <r>
    <x v="0"/>
    <n v="3118229"/>
    <n v="2593220"/>
    <n v="429690.4"/>
    <n v="29781.969999999998"/>
    <n v="25314.674499999997"/>
    <n v="4467.2955000000002"/>
    <n v="4467.2955000000002"/>
    <n v="4467.2955000000002"/>
    <n v="30"/>
    <n v="0.15"/>
    <x v="5"/>
  </r>
  <r>
    <x v="0"/>
    <n v="3118229"/>
    <n v="2593221"/>
    <n v="463451.2"/>
    <n v="29549"/>
    <n v="25116.65"/>
    <n v="4432.3500000000004"/>
    <n v="4432.3500000000004"/>
    <n v="4432.3500000000004"/>
    <n v="30"/>
    <n v="0.15"/>
    <x v="5"/>
  </r>
  <r>
    <x v="0"/>
    <n v="3118229"/>
    <n v="2593222"/>
    <n v="464765.62"/>
    <n v="16027.579999999998"/>
    <n v="13623.442999999999"/>
    <n v="2404.1369999999997"/>
    <n v="2404.1369999999997"/>
    <n v="2404.1369999999997"/>
    <n v="30"/>
    <n v="0.15"/>
    <x v="5"/>
  </r>
  <r>
    <x v="0"/>
    <n v="3118229"/>
    <n v="2593223"/>
    <n v="372606.02"/>
    <n v="37093"/>
    <n v="31529.050000000003"/>
    <n v="5563.9499999999989"/>
    <n v="5563.9499999999989"/>
    <n v="5563.9499999999989"/>
    <n v="30"/>
    <n v="0.15"/>
    <x v="5"/>
  </r>
  <r>
    <x v="0"/>
    <n v="3118229"/>
    <n v="2593224"/>
    <n v="526802.5"/>
    <n v="31766.46"/>
    <n v="27001.490999999998"/>
    <n v="4764.9690000000001"/>
    <n v="4764.9690000000001"/>
    <n v="4764.9690000000001"/>
    <n v="30"/>
    <n v="0.15"/>
    <x v="5"/>
  </r>
  <r>
    <x v="0"/>
    <n v="3118229"/>
    <n v="2593225"/>
    <n v="377406.5"/>
    <n v="31781.370000000003"/>
    <n v="27014.164500000003"/>
    <n v="4767.2055"/>
    <n v="4767.2055"/>
    <n v="4767.2055"/>
    <n v="30"/>
    <n v="0.15"/>
    <x v="5"/>
  </r>
  <r>
    <x v="0"/>
    <n v="3118229"/>
    <n v="2593226"/>
    <n v="277235"/>
    <n v="22743.739999999998"/>
    <n v="19332.178999999996"/>
    <n v="3411.5609999999997"/>
    <n v="3411.5609999999997"/>
    <n v="3411.5609999999997"/>
    <n v="30"/>
    <n v="0.15"/>
    <x v="5"/>
  </r>
  <r>
    <x v="0"/>
    <n v="3118229"/>
    <n v="2593229"/>
    <n v="126720"/>
    <n v="7485.5899999999992"/>
    <n v="6362.7514999999985"/>
    <n v="1122.8385000000003"/>
    <n v="1122.8385000000003"/>
    <n v="1122.8385000000003"/>
    <n v="30"/>
    <n v="0.15"/>
    <x v="5"/>
  </r>
  <r>
    <x v="0"/>
    <n v="3118229"/>
    <n v="2593230"/>
    <n v="335931.4"/>
    <n v="23340.91"/>
    <n v="19839.773499999999"/>
    <n v="3501.1365000000005"/>
    <n v="3501.1365000000005"/>
    <n v="3501.1365000000005"/>
    <n v="30"/>
    <n v="0.15"/>
    <x v="5"/>
  </r>
  <r>
    <x v="0"/>
    <n v="3118229"/>
    <n v="2593231"/>
    <n v="357619.44"/>
    <n v="29235.02"/>
    <n v="24849.767"/>
    <n v="4385.2529999999997"/>
    <n v="4385.2529999999997"/>
    <n v="4385.2529999999997"/>
    <n v="30"/>
    <n v="0.15"/>
    <x v="5"/>
  </r>
  <r>
    <x v="0"/>
    <n v="3118229"/>
    <n v="2593232"/>
    <n v="253138.2"/>
    <n v="25350.25"/>
    <n v="21547.712500000001"/>
    <n v="3802.5374999999995"/>
    <n v="3802.5374999999995"/>
    <n v="3802.5374999999995"/>
    <n v="30"/>
    <n v="0.15"/>
    <x v="5"/>
  </r>
  <r>
    <x v="0"/>
    <n v="3118229"/>
    <n v="2593233"/>
    <n v="259506.3"/>
    <n v="22861.69"/>
    <n v="19432.4365"/>
    <n v="3429.2534999999998"/>
    <n v="3429.2534999999998"/>
    <n v="3429.2534999999998"/>
    <n v="30"/>
    <n v="0.15"/>
    <x v="5"/>
  </r>
  <r>
    <x v="0"/>
    <n v="3118229"/>
    <n v="2593234"/>
    <n v="560081.19999999995"/>
    <n v="40220.200000000004"/>
    <n v="34187.170000000006"/>
    <n v="6033.0300000000007"/>
    <n v="6033.0300000000007"/>
    <n v="6033.0300000000007"/>
    <n v="30"/>
    <n v="0.15"/>
    <x v="5"/>
  </r>
  <r>
    <x v="0"/>
    <n v="3118229"/>
    <n v="2593235"/>
    <n v="493448.64"/>
    <n v="45217.729999999996"/>
    <n v="38435.070499999994"/>
    <n v="6782.6594999999998"/>
    <n v="6782.6594999999998"/>
    <n v="6782.6594999999998"/>
    <n v="30"/>
    <n v="0.15"/>
    <x v="5"/>
  </r>
  <r>
    <x v="0"/>
    <n v="3118229"/>
    <n v="2595026"/>
    <n v="274896.75"/>
    <n v="25783.35"/>
    <n v="21915.8475"/>
    <n v="3867.5024999999991"/>
    <n v="3867.5024999999991"/>
    <n v="3867.5024999999991"/>
    <n v="30"/>
    <n v="0.15"/>
    <x v="5"/>
  </r>
  <r>
    <x v="0"/>
    <n v="3118229"/>
    <n v="2595027"/>
    <n v="294033.75"/>
    <n v="23065.59"/>
    <n v="19605.751499999998"/>
    <n v="3459.8385000000007"/>
    <n v="3459.8385000000007"/>
    <n v="3459.8385000000007"/>
    <n v="30"/>
    <n v="0.15"/>
    <x v="5"/>
  </r>
  <r>
    <x v="0"/>
    <n v="3118229"/>
    <n v="2626575"/>
    <n v="317680"/>
    <n v="33930.129999999997"/>
    <n v="28840.610499999995"/>
    <n v="5089.5195000000003"/>
    <n v="5089.5195000000003"/>
    <n v="5089.5195000000003"/>
    <n v="30"/>
    <n v="0.15"/>
    <x v="5"/>
  </r>
  <r>
    <x v="0"/>
    <n v="3118229"/>
    <n v="2626576"/>
    <n v="133830"/>
    <n v="19097.36"/>
    <n v="16232.756000000001"/>
    <n v="2864.6040000000003"/>
    <n v="2864.6040000000003"/>
    <n v="2864.6040000000003"/>
    <n v="30"/>
    <n v="0.15"/>
    <x v="5"/>
  </r>
  <r>
    <x v="0"/>
    <n v="3118229"/>
    <n v="2644882"/>
    <n v="201765"/>
    <n v="6930.119999999999"/>
    <n v="5950.601999999999"/>
    <n v="979.51800000000026"/>
    <n v="979.51800000000026"/>
    <n v="979.51800000000026"/>
    <n v="30"/>
    <n v="0.15"/>
    <x v="5"/>
  </r>
  <r>
    <x v="0"/>
    <n v="3118229"/>
    <n v="2644883"/>
    <n v="176990"/>
    <n v="2286.0500000000029"/>
    <n v="2003.1425000000022"/>
    <n v="282.90750000000071"/>
    <n v="282.90750000000071"/>
    <n v="282.90750000000071"/>
    <n v="30"/>
    <n v="0.15"/>
    <x v="5"/>
  </r>
  <r>
    <x v="0"/>
    <n v="3118229"/>
    <n v="2644896"/>
    <n v="467342.2"/>
    <n v="568.80000000000109"/>
    <n v="543.48000000000025"/>
    <n v="25.320000000000846"/>
    <n v="25.320000000000846"/>
    <n v="25.320000000000846"/>
    <n v="30"/>
    <n v="0.15"/>
    <x v="5"/>
  </r>
  <r>
    <x v="0"/>
    <n v="3118229"/>
    <n v="2644897"/>
    <n v="348594"/>
    <n v="26379.719999999994"/>
    <n v="22482.761999999995"/>
    <n v="3896.9579999999987"/>
    <n v="3896.9579999999987"/>
    <n v="3896.9579999999987"/>
    <n v="30"/>
    <n v="0.15"/>
    <x v="5"/>
  </r>
  <r>
    <x v="0"/>
    <n v="3118229"/>
    <n v="2644898"/>
    <n v="349206.4"/>
    <n v="29404.439999999995"/>
    <n v="25053.773999999998"/>
    <n v="4350.6659999999983"/>
    <n v="4350.6659999999983"/>
    <n v="4350.6659999999983"/>
    <n v="30"/>
    <n v="0.15"/>
    <x v="5"/>
  </r>
  <r>
    <x v="0"/>
    <n v="3118229"/>
    <n v="2644899"/>
    <n v="349686"/>
    <n v="24041.380000000005"/>
    <n v="20495.173000000003"/>
    <n v="3546.2070000000003"/>
    <n v="3546.2070000000003"/>
    <n v="3546.2070000000003"/>
    <n v="30"/>
    <n v="0.15"/>
    <x v="5"/>
  </r>
  <r>
    <x v="0"/>
    <n v="3118229"/>
    <n v="2644900"/>
    <n v="403376.8"/>
    <n v="16260.279999999995"/>
    <n v="13881.237999999996"/>
    <n v="2379.0419999999995"/>
    <n v="2379.0419999999995"/>
    <n v="2379.0419999999995"/>
    <n v="30"/>
    <n v="0.15"/>
    <x v="5"/>
  </r>
  <r>
    <x v="0"/>
    <n v="3118229"/>
    <n v="2644901"/>
    <n v="511674"/>
    <n v="25987.51"/>
    <n v="22149.3835"/>
    <n v="3838.1264999999999"/>
    <n v="3838.1264999999999"/>
    <n v="3838.1264999999999"/>
    <n v="30"/>
    <n v="0.15"/>
    <x v="5"/>
  </r>
  <r>
    <x v="0"/>
    <n v="3118229"/>
    <n v="2644902"/>
    <n v="362069.5"/>
    <n v="27784.370000000003"/>
    <n v="23676.714500000002"/>
    <n v="4107.6555000000008"/>
    <n v="4107.6555000000008"/>
    <n v="4107.6555000000008"/>
    <n v="30"/>
    <n v="0.15"/>
    <x v="5"/>
  </r>
  <r>
    <x v="0"/>
    <n v="3118229"/>
    <n v="2644903"/>
    <n v="337131.75"/>
    <n v="21748.510000000002"/>
    <n v="18546.233500000002"/>
    <n v="3202.2765000000009"/>
    <n v="3202.2765000000009"/>
    <n v="3202.2765000000009"/>
    <n v="30"/>
    <n v="0.15"/>
    <x v="5"/>
  </r>
  <r>
    <x v="0"/>
    <n v="3118229"/>
    <n v="2644904"/>
    <n v="355411.5"/>
    <n v="30261.679999999997"/>
    <n v="25782.427999999996"/>
    <n v="4479.2519999999995"/>
    <n v="4479.2519999999995"/>
    <n v="4479.2519999999995"/>
    <n v="30"/>
    <n v="0.15"/>
    <x v="5"/>
  </r>
  <r>
    <x v="0"/>
    <n v="3118229"/>
    <n v="2644905"/>
    <n v="394565.72"/>
    <n v="19420.04"/>
    <n v="16567.034"/>
    <n v="2853.0059999999999"/>
    <n v="2853.0059999999999"/>
    <n v="2853.0059999999999"/>
    <n v="30"/>
    <n v="0.15"/>
    <x v="5"/>
  </r>
  <r>
    <x v="0"/>
    <n v="3118229"/>
    <n v="2644906"/>
    <n v="376855.28"/>
    <n v="24015.120000000006"/>
    <n v="20472.852000000006"/>
    <n v="3542.2680000000009"/>
    <n v="3542.2680000000009"/>
    <n v="3542.2680000000009"/>
    <n v="30"/>
    <n v="0.15"/>
    <x v="5"/>
  </r>
  <r>
    <x v="0"/>
    <n v="3118229"/>
    <n v="2644907"/>
    <n v="473061.68"/>
    <n v="44913.219999999987"/>
    <n v="38236.236999999986"/>
    <n v="6676.9829999999993"/>
    <n v="6676.9829999999993"/>
    <n v="6676.9829999999993"/>
    <n v="30"/>
    <n v="0.15"/>
    <x v="5"/>
  </r>
  <r>
    <x v="0"/>
    <n v="3118229"/>
    <n v="2644908"/>
    <n v="460879.25"/>
    <n v="28355.300000000003"/>
    <n v="24162.005000000005"/>
    <n v="4193.2950000000001"/>
    <n v="4193.2950000000001"/>
    <n v="4193.2950000000001"/>
    <n v="30"/>
    <n v="0.15"/>
    <x v="5"/>
  </r>
  <r>
    <x v="0"/>
    <n v="3118229"/>
    <n v="2644909"/>
    <n v="450569.25"/>
    <n v="18025.079999999998"/>
    <n v="15381.317999999999"/>
    <n v="2643.7619999999997"/>
    <n v="2643.7619999999997"/>
    <n v="2643.7619999999997"/>
    <n v="30"/>
    <n v="0.15"/>
    <x v="5"/>
  </r>
  <r>
    <x v="0"/>
    <n v="3118229"/>
    <n v="2644910"/>
    <n v="460737.18"/>
    <n v="25861.729999999996"/>
    <n v="22042.470499999996"/>
    <n v="3819.2595000000006"/>
    <n v="3819.2595000000006"/>
    <n v="3819.2595000000006"/>
    <n v="30"/>
    <n v="0.15"/>
    <x v="5"/>
  </r>
  <r>
    <x v="0"/>
    <n v="3118229"/>
    <n v="2644911"/>
    <n v="472362.7"/>
    <n v="34994.699999999997"/>
    <n v="29805.494999999995"/>
    <n v="5189.2049999999999"/>
    <n v="5189.2049999999999"/>
    <n v="5189.2049999999999"/>
    <n v="30"/>
    <n v="0.15"/>
    <x v="5"/>
  </r>
  <r>
    <x v="0"/>
    <n v="3118229"/>
    <n v="2644912"/>
    <n v="542123.46"/>
    <n v="39212.329999999994"/>
    <n v="33390.480499999991"/>
    <n v="5821.8495000000012"/>
    <n v="5821.8495000000012"/>
    <n v="5821.8495000000012"/>
    <n v="30"/>
    <n v="0.15"/>
    <x v="5"/>
  </r>
  <r>
    <x v="0"/>
    <n v="3118229"/>
    <n v="2644913"/>
    <n v="326510"/>
    <n v="18755.849999999999"/>
    <n v="16002.472499999998"/>
    <n v="2753.3775000000001"/>
    <n v="2753.3775000000001"/>
    <n v="2753.3775000000001"/>
    <n v="30"/>
    <n v="0.15"/>
    <x v="5"/>
  </r>
  <r>
    <x v="0"/>
    <n v="3105246"/>
    <n v="2631380"/>
    <n v="89240.8"/>
    <n v="7835.9400000000023"/>
    <n v="7052.3500000000022"/>
    <n v="783.59"/>
    <n v="783.59"/>
    <n v="783.59"/>
    <n v="30"/>
    <n v="0.1"/>
    <x v="6"/>
  </r>
  <r>
    <x v="0"/>
    <n v="3105246"/>
    <n v="2631382"/>
    <n v="57698.599999999991"/>
    <n v="1422.5800000000017"/>
    <n v="1280.3200000000018"/>
    <n v="142.26"/>
    <n v="142.26"/>
    <n v="142.26"/>
    <n v="30"/>
    <n v="0.1"/>
    <x v="6"/>
  </r>
  <r>
    <x v="0"/>
    <n v="3105246"/>
    <n v="2631381"/>
    <n v="69041.2"/>
    <n v="388.55999999999767"/>
    <n v="349.69999999999766"/>
    <n v="38.86"/>
    <n v="38.86"/>
    <n v="38.86"/>
    <n v="30"/>
    <n v="0.1"/>
    <x v="6"/>
  </r>
  <r>
    <x v="0"/>
    <n v="3105246"/>
    <n v="2631383"/>
    <n v="97816"/>
    <n v="6885.8800000000047"/>
    <n v="6197.2900000000045"/>
    <n v="688.59"/>
    <n v="688.59"/>
    <n v="688.59"/>
    <n v="30"/>
    <n v="0.1"/>
    <x v="6"/>
  </r>
  <r>
    <x v="0"/>
    <n v="3105246"/>
    <n v="2655638"/>
    <n v="99323.800000000017"/>
    <n v="6894.2299999999959"/>
    <n v="6204.8099999999959"/>
    <n v="689.42"/>
    <n v="689.42"/>
    <n v="689.42"/>
    <n v="30"/>
    <n v="0.1"/>
    <x v="6"/>
  </r>
  <r>
    <x v="0"/>
    <n v="3105246"/>
    <n v="2655639"/>
    <n v="88540.799999999988"/>
    <n v="3315.9100000000035"/>
    <n v="2984.3200000000033"/>
    <n v="331.59"/>
    <n v="331.59"/>
    <n v="331.59"/>
    <n v="30"/>
    <n v="0.1"/>
    <x v="6"/>
  </r>
  <r>
    <x v="0"/>
    <n v="3116128"/>
    <n v="2633795"/>
    <n v="2386"/>
    <n v="2102.6999999999998"/>
    <n v="1682.1599999999999"/>
    <n v="420.53999999999996"/>
    <n v="420.53999999999996"/>
    <n v="420.53999999999996"/>
    <n v="30"/>
    <n v="0.2"/>
    <x v="7"/>
  </r>
  <r>
    <x v="0"/>
    <n v="3116128"/>
    <n v="2633794"/>
    <n v="1101"/>
    <n v="469.6"/>
    <n v="375.68"/>
    <n v="93.920000000000016"/>
    <n v="93.920000000000016"/>
    <n v="93.920000000000016"/>
    <n v="30"/>
    <n v="0.2"/>
    <x v="7"/>
  </r>
  <r>
    <x v="0"/>
    <n v="3116128"/>
    <n v="2633793"/>
    <n v="5432"/>
    <n v="934.88000000000011"/>
    <n v="747.90400000000011"/>
    <n v="186.97600000000003"/>
    <n v="186.97600000000003"/>
    <n v="186.97600000000003"/>
    <n v="30"/>
    <n v="0.2"/>
    <x v="7"/>
  </r>
  <r>
    <x v="0"/>
    <n v="3116128"/>
    <n v="2633796"/>
    <n v="7533"/>
    <n v="1427.52"/>
    <n v="1142.0160000000001"/>
    <n v="285.50400000000002"/>
    <n v="285.50400000000002"/>
    <n v="285.50400000000002"/>
    <n v="30"/>
    <n v="0.2"/>
    <x v="7"/>
  </r>
  <r>
    <x v="0"/>
    <n v="3116128"/>
    <n v="2633798"/>
    <n v="1153"/>
    <n v="901.59999999999991"/>
    <n v="721.28"/>
    <n v="180.32"/>
    <n v="180.32"/>
    <n v="180.32"/>
    <n v="30"/>
    <n v="0.2"/>
    <x v="7"/>
  </r>
  <r>
    <x v="0"/>
    <n v="3116128"/>
    <n v="2633799"/>
    <n v="566"/>
    <n v="34.400000000000006"/>
    <n v="27.520000000000003"/>
    <n v="6.8800000000000017"/>
    <n v="6.8800000000000017"/>
    <n v="6.8800000000000017"/>
    <n v="30"/>
    <n v="0.2"/>
    <x v="7"/>
  </r>
  <r>
    <x v="0"/>
    <n v="3116128"/>
    <n v="2633792"/>
    <n v="4682"/>
    <n v="948.92000000000007"/>
    <n v="759.13600000000008"/>
    <n v="189.78400000000002"/>
    <n v="189.78400000000002"/>
    <n v="189.78400000000002"/>
    <n v="30"/>
    <n v="0.2"/>
    <x v="7"/>
  </r>
  <r>
    <x v="0"/>
    <n v="3116128"/>
    <n v="2633797"/>
    <n v="5555"/>
    <n v="739.31"/>
    <n v="591.44799999999998"/>
    <n v="147.86199999999999"/>
    <n v="147.86199999999999"/>
    <n v="147.86199999999999"/>
    <n v="30"/>
    <n v="0.2"/>
    <x v="7"/>
  </r>
  <r>
    <x v="0"/>
    <n v="3116128"/>
    <n v="2633218"/>
    <n v="21661"/>
    <n v="1250.0999999999999"/>
    <n v="1000.0799999999999"/>
    <n v="250.01999999999998"/>
    <n v="250.01999999999998"/>
    <n v="250.01999999999998"/>
    <n v="30"/>
    <n v="0.2"/>
    <x v="7"/>
  </r>
  <r>
    <x v="0"/>
    <n v="3116128"/>
    <n v="2633219"/>
    <n v="6554"/>
    <n v="2732.89"/>
    <n v="2186.3119999999999"/>
    <n v="546.57799999999997"/>
    <n v="546.57799999999997"/>
    <n v="546.57799999999997"/>
    <n v="30"/>
    <n v="0.2"/>
    <x v="7"/>
  </r>
  <r>
    <x v="0"/>
    <n v="3116128"/>
    <n v="2633220"/>
    <n v="8505"/>
    <n v="1755.8"/>
    <n v="1404.6399999999999"/>
    <n v="351.16"/>
    <n v="351.16"/>
    <n v="351.16"/>
    <n v="30"/>
    <n v="0.2"/>
    <x v="7"/>
  </r>
  <r>
    <x v="0"/>
    <n v="3116128"/>
    <n v="2633221"/>
    <n v="6404"/>
    <n v="3796.9"/>
    <n v="3037.52"/>
    <n v="759.38000000000011"/>
    <n v="759.38000000000011"/>
    <n v="759.38000000000011"/>
    <n v="30"/>
    <n v="0.2"/>
    <x v="7"/>
  </r>
  <r>
    <x v="0"/>
    <n v="3116128"/>
    <n v="2633225"/>
    <n v="9510"/>
    <n v="4200.2"/>
    <n v="3360.16"/>
    <n v="840.04"/>
    <n v="840.04"/>
    <n v="840.04"/>
    <n v="30"/>
    <n v="0.2"/>
    <x v="7"/>
  </r>
  <r>
    <x v="0"/>
    <n v="3116128"/>
    <n v="2633226"/>
    <n v="22414"/>
    <n v="9433.82"/>
    <n v="7547.0559999999996"/>
    <n v="1886.7640000000001"/>
    <n v="1886.7640000000001"/>
    <n v="1886.7640000000001"/>
    <n v="30"/>
    <n v="0.2"/>
    <x v="7"/>
  </r>
  <r>
    <x v="0"/>
    <n v="3116128"/>
    <n v="2633227"/>
    <n v="10375"/>
    <n v="1813.7800000000002"/>
    <n v="1451.0240000000001"/>
    <n v="362.75600000000009"/>
    <n v="362.75600000000009"/>
    <n v="362.75600000000009"/>
    <n v="30"/>
    <n v="0.2"/>
    <x v="7"/>
  </r>
  <r>
    <x v="0"/>
    <n v="3116128"/>
    <n v="2633228"/>
    <n v="19501"/>
    <n v="4947.8500000000004"/>
    <n v="3958.28"/>
    <n v="989.57000000000016"/>
    <n v="989.57000000000016"/>
    <n v="989.57000000000016"/>
    <n v="30"/>
    <n v="0.2"/>
    <x v="7"/>
  </r>
  <r>
    <x v="0"/>
    <n v="3116128"/>
    <n v="2603164"/>
    <n v="2974"/>
    <n v="676"/>
    <n v="540.79999999999995"/>
    <n v="135.20000000000002"/>
    <n v="135.20000000000002"/>
    <n v="135.20000000000002"/>
    <n v="30"/>
    <n v="0.2"/>
    <x v="7"/>
  </r>
  <r>
    <x v="0"/>
    <n v="3116128"/>
    <n v="2603165"/>
    <n v="1643"/>
    <n v="865.2"/>
    <n v="692.16000000000008"/>
    <n v="173.04000000000002"/>
    <n v="173.04000000000002"/>
    <n v="173.04000000000002"/>
    <n v="30"/>
    <n v="0.2"/>
    <x v="7"/>
  </r>
  <r>
    <x v="0"/>
    <n v="3116128"/>
    <n v="2603166"/>
    <n v="5960"/>
    <n v="2990.35"/>
    <n v="2392.2799999999997"/>
    <n v="598.07000000000005"/>
    <n v="598.07000000000005"/>
    <n v="598.07000000000005"/>
    <n v="30"/>
    <n v="0.2"/>
    <x v="7"/>
  </r>
  <r>
    <x v="0"/>
    <n v="3116128"/>
    <n v="2603167"/>
    <n v="5253"/>
    <n v="2867.95"/>
    <n v="2294.3599999999997"/>
    <n v="573.59"/>
    <n v="573.59"/>
    <n v="573.59"/>
    <n v="30"/>
    <n v="0.2"/>
    <x v="7"/>
  </r>
  <r>
    <x v="0"/>
    <n v="3116128"/>
    <n v="2603168"/>
    <n v="2877"/>
    <n v="1936.26"/>
    <n v="1549.008"/>
    <n v="387.25200000000001"/>
    <n v="387.25200000000001"/>
    <n v="387.25200000000001"/>
    <n v="30"/>
    <n v="0.2"/>
    <x v="7"/>
  </r>
  <r>
    <x v="0"/>
    <n v="3116128"/>
    <n v="2603169"/>
    <n v="5691"/>
    <n v="4014.88"/>
    <n v="3211.904"/>
    <n v="802.97600000000011"/>
    <n v="802.97600000000011"/>
    <n v="802.97600000000011"/>
    <n v="30"/>
    <n v="0.2"/>
    <x v="7"/>
  </r>
  <r>
    <x v="0"/>
    <n v="3116128"/>
    <n v="2589463"/>
    <n v="5216"/>
    <n v="2602.4"/>
    <n v="2081.92"/>
    <n v="520.48"/>
    <n v="520.48"/>
    <n v="520.48"/>
    <n v="30"/>
    <n v="0.2"/>
    <x v="7"/>
  </r>
  <r>
    <x v="0"/>
    <n v="3116128"/>
    <n v="2589465"/>
    <n v="2950"/>
    <n v="1311.7"/>
    <n v="1049.3600000000001"/>
    <n v="262.34000000000003"/>
    <n v="262.34000000000003"/>
    <n v="262.34000000000003"/>
    <n v="30"/>
    <n v="0.2"/>
    <x v="7"/>
  </r>
  <r>
    <x v="0"/>
    <n v="3116128"/>
    <n v="2602664"/>
    <n v="4803"/>
    <n v="-1015.86"/>
    <n v="0"/>
    <n v="0"/>
    <n v="0"/>
    <n v="0"/>
    <n v="30"/>
    <n v="0.2"/>
    <x v="7"/>
  </r>
  <r>
    <x v="0"/>
    <n v="3116128"/>
    <n v="2602665"/>
    <n v="5592"/>
    <n v="47.009999999999991"/>
    <n v="37.60799999999999"/>
    <n v="9.4019999999999992"/>
    <n v="9.4019999999999992"/>
    <n v="9.4019999999999992"/>
    <n v="30"/>
    <n v="0.2"/>
    <x v="7"/>
  </r>
  <r>
    <x v="0"/>
    <n v="3116128"/>
    <n v="2587034"/>
    <n v="7350"/>
    <n v="2059.5"/>
    <n v="1647.6"/>
    <n v="411.90000000000003"/>
    <n v="411.90000000000003"/>
    <n v="411.90000000000003"/>
    <n v="30"/>
    <n v="0.2"/>
    <x v="7"/>
  </r>
  <r>
    <x v="0"/>
    <n v="3116128"/>
    <n v="2587037"/>
    <n v="4425"/>
    <n v="-3408.4"/>
    <n v="0"/>
    <n v="0"/>
    <n v="0"/>
    <n v="0"/>
    <n v="30"/>
    <n v="0.2"/>
    <x v="7"/>
  </r>
  <r>
    <x v="0"/>
    <n v="3116128"/>
    <n v="2587101"/>
    <n v="6343"/>
    <n v="567.91"/>
    <n v="454.32799999999997"/>
    <n v="113.58199999999999"/>
    <n v="113.58199999999999"/>
    <n v="113.58199999999999"/>
    <n v="30"/>
    <n v="0.2"/>
    <x v="7"/>
  </r>
  <r>
    <x v="0"/>
    <n v="3116128"/>
    <n v="2602666"/>
    <n v="10728"/>
    <n v="3888.75"/>
    <n v="3111"/>
    <n v="777.75"/>
    <n v="777.75"/>
    <n v="777.75"/>
    <n v="30"/>
    <n v="0.2"/>
    <x v="7"/>
  </r>
  <r>
    <x v="0"/>
    <n v="3116128"/>
    <n v="2538518"/>
    <n v="7875"/>
    <n v="-247.85"/>
    <n v="0"/>
    <n v="0"/>
    <n v="0"/>
    <n v="0"/>
    <n v="30"/>
    <n v="0.2"/>
    <x v="7"/>
  </r>
  <r>
    <x v="0"/>
    <n v="3116128"/>
    <n v="2538519"/>
    <n v="8038"/>
    <n v="1488.26"/>
    <n v="1190.6079999999999"/>
    <n v="297.65199999999999"/>
    <n v="297.65199999999999"/>
    <n v="297.65199999999999"/>
    <n v="30"/>
    <n v="0.2"/>
    <x v="7"/>
  </r>
  <r>
    <x v="0"/>
    <n v="3116128"/>
    <n v="2538520"/>
    <n v="7213"/>
    <n v="3664.5"/>
    <n v="2931.6"/>
    <n v="732.90000000000009"/>
    <n v="732.90000000000009"/>
    <n v="732.90000000000009"/>
    <n v="30"/>
    <n v="0.2"/>
    <x v="7"/>
  </r>
  <r>
    <x v="0"/>
    <n v="3116128"/>
    <n v="2538521"/>
    <n v="7015"/>
    <n v="2396.65"/>
    <n v="1917.3200000000002"/>
    <n v="479.33000000000004"/>
    <n v="479.33000000000004"/>
    <n v="479.33000000000004"/>
    <n v="30"/>
    <n v="0.2"/>
    <x v="7"/>
  </r>
  <r>
    <x v="0"/>
    <n v="3116128"/>
    <n v="2538522"/>
    <n v="3431"/>
    <n v="-106.00999999999999"/>
    <n v="0"/>
    <n v="0"/>
    <n v="0"/>
    <n v="0"/>
    <n v="30"/>
    <n v="0.2"/>
    <x v="7"/>
  </r>
  <r>
    <x v="0"/>
    <n v="3116128"/>
    <n v="2540133"/>
    <n v="2285"/>
    <n v="-123.92"/>
    <n v="0"/>
    <n v="0"/>
    <n v="0"/>
    <n v="0"/>
    <n v="30"/>
    <n v="0.2"/>
    <x v="7"/>
  </r>
  <r>
    <x v="0"/>
    <n v="3116128"/>
    <n v="2538517"/>
    <n v="9226"/>
    <n v="2927.7"/>
    <n v="2342.16"/>
    <n v="585.54"/>
    <n v="585.54"/>
    <n v="585.54"/>
    <n v="30"/>
    <n v="0.2"/>
    <x v="7"/>
  </r>
  <r>
    <x v="0"/>
    <n v="3116128"/>
    <n v="2540857"/>
    <n v="7619"/>
    <n v="685.8"/>
    <n v="548.64"/>
    <n v="137.16"/>
    <n v="137.16"/>
    <n v="137.16"/>
    <n v="30"/>
    <n v="0.2"/>
    <x v="7"/>
  </r>
  <r>
    <x v="0"/>
    <n v="3116128"/>
    <n v="2540131"/>
    <n v="5184"/>
    <n v="983.81999999999994"/>
    <n v="787.05599999999993"/>
    <n v="196.76400000000001"/>
    <n v="196.76400000000001"/>
    <n v="196.76400000000001"/>
    <n v="30"/>
    <n v="0.2"/>
    <x v="7"/>
  </r>
  <r>
    <x v="0"/>
    <n v="3116128"/>
    <n v="2540132"/>
    <n v="5567"/>
    <n v="1501.57"/>
    <n v="1201.2559999999999"/>
    <n v="300.31400000000002"/>
    <n v="300.31400000000002"/>
    <n v="300.31400000000002"/>
    <n v="30"/>
    <n v="0.2"/>
    <x v="7"/>
  </r>
  <r>
    <x v="0"/>
    <n v="3116128"/>
    <n v="2540858"/>
    <n v="3065"/>
    <n v="2414.1999999999998"/>
    <n v="1931.36"/>
    <n v="482.84"/>
    <n v="482.84"/>
    <n v="482.84"/>
    <n v="30"/>
    <n v="0.2"/>
    <x v="7"/>
  </r>
  <r>
    <x v="0"/>
    <n v="3116128"/>
    <n v="2540859"/>
    <n v="3196"/>
    <n v="-444.4"/>
    <n v="0"/>
    <n v="0"/>
    <n v="0"/>
    <n v="0"/>
    <n v="30"/>
    <n v="0.2"/>
    <x v="7"/>
  </r>
  <r>
    <x v="0"/>
    <n v="3304946"/>
    <n v="2639885"/>
    <n v="50558.200000000004"/>
    <n v="657.05999999999767"/>
    <n v="591.35399999999788"/>
    <n v="65.705999999999776"/>
    <n v="65.705999999999776"/>
    <n v="65.705999999999776"/>
    <n v="30"/>
    <n v="0.10000000000000002"/>
    <x v="8"/>
  </r>
  <r>
    <x v="0"/>
    <n v="3304946"/>
    <n v="2639887"/>
    <n v="26084.600000000002"/>
    <n v="1530.6899999999987"/>
    <n v="1377.6209999999987"/>
    <n v="153.06899999999987"/>
    <n v="153.06899999999987"/>
    <n v="153.06899999999987"/>
    <n v="30"/>
    <n v="0.10000000000000002"/>
    <x v="8"/>
  </r>
  <r>
    <x v="0"/>
    <n v="3304946"/>
    <n v="2639886"/>
    <n v="33983.200000000004"/>
    <n v="4794.5400000000009"/>
    <n v="4315.0860000000011"/>
    <n v="479.45400000000012"/>
    <n v="479.45400000000012"/>
    <n v="479.45400000000012"/>
    <n v="30"/>
    <n v="0.10000000000000002"/>
    <x v="8"/>
  </r>
  <r>
    <x v="0"/>
    <n v="3304946"/>
    <n v="2639888"/>
    <n v="46433.599999999991"/>
    <n v="7026.0999999999985"/>
    <n v="6323.4899999999989"/>
    <n v="702.6099999999999"/>
    <n v="702.6099999999999"/>
    <n v="702.6099999999999"/>
    <n v="30"/>
    <n v="0.10000000000000002"/>
    <x v="8"/>
  </r>
  <r>
    <x v="0"/>
    <n v="3105234"/>
    <n v="2648890"/>
    <n v="166155.5"/>
    <n v="8377.5100000000093"/>
    <n v="7539.7590000000082"/>
    <n v="837.751000000001"/>
    <n v="837.751000000001"/>
    <n v="837.751000000001"/>
    <n v="30"/>
    <n v="0.10000000000000002"/>
    <x v="9"/>
  </r>
  <r>
    <x v="0"/>
    <n v="3105234"/>
    <n v="2648893"/>
    <n v="129848.5"/>
    <n v="7587.6399999999994"/>
    <n v="6828.8759999999993"/>
    <n v="758.76400000000001"/>
    <n v="758.76400000000001"/>
    <n v="758.76400000000001"/>
    <n v="30"/>
    <n v="0.10000000000000002"/>
    <x v="9"/>
  </r>
  <r>
    <x v="0"/>
    <n v="3105234"/>
    <n v="2648891"/>
    <n v="163293.25"/>
    <n v="11518.579999999987"/>
    <n v="10366.721999999989"/>
    <n v="1151.8579999999988"/>
    <n v="1151.8579999999988"/>
    <n v="1151.8579999999988"/>
    <n v="30"/>
    <n v="0.10000000000000002"/>
    <x v="9"/>
  </r>
  <r>
    <x v="0"/>
    <n v="3105234"/>
    <n v="2648894"/>
    <n v="115442.25"/>
    <n v="8571.9100000000035"/>
    <n v="7714.7190000000028"/>
    <n v="857.19100000000037"/>
    <n v="857.19100000000037"/>
    <n v="857.19100000000037"/>
    <n v="30"/>
    <n v="0.10000000000000002"/>
    <x v="9"/>
  </r>
  <r>
    <x v="0"/>
    <n v="3105234"/>
    <n v="2648892"/>
    <n v="186190.5"/>
    <n v="18289.950000000012"/>
    <n v="16460.955000000009"/>
    <n v="1828.9950000000013"/>
    <n v="1828.9950000000013"/>
    <n v="1828.9950000000013"/>
    <n v="30"/>
    <n v="0.10000000000000002"/>
    <x v="9"/>
  </r>
  <r>
    <x v="0"/>
    <n v="3104105"/>
    <n v="1973782"/>
    <n v="755680"/>
    <n v="44568.3"/>
    <n v="41012.899464133021"/>
    <n v="3555.4005358669847"/>
    <n v="3555.4005358669847"/>
    <n v="3555.4005358669847"/>
    <n v="30"/>
    <m/>
    <x v="10"/>
  </r>
  <r>
    <x v="0"/>
    <n v="3104105"/>
    <n v="1982113"/>
    <n v="593228"/>
    <n v="14765.26"/>
    <n v="13457.671464133015"/>
    <n v="1307.5885358669848"/>
    <n v="1307.5885358669848"/>
    <n v="1307.5885358669848"/>
    <n v="30"/>
    <m/>
    <x v="10"/>
  </r>
  <r>
    <x v="0"/>
    <n v="3104105"/>
    <n v="1982115"/>
    <n v="1001707"/>
    <n v="19584.8"/>
    <n v="17981.030664133013"/>
    <n v="1603.7693358669846"/>
    <n v="1603.7693358669846"/>
    <n v="1603.7693358669846"/>
    <n v="30"/>
    <m/>
    <x v="10"/>
  </r>
  <r>
    <x v="0"/>
    <n v="3104105"/>
    <n v="1988014"/>
    <n v="1195245"/>
    <n v="47876.69"/>
    <n v="43919.84306413302"/>
    <n v="3956.8469358669845"/>
    <n v="3956.8469358669845"/>
    <n v="3956.8469358669845"/>
    <n v="30"/>
    <m/>
    <x v="10"/>
  </r>
  <r>
    <x v="0"/>
    <n v="3104105"/>
    <n v="1989075"/>
    <n v="308629"/>
    <n v="27937.58"/>
    <n v="25867.007464133017"/>
    <n v="2070.5725358669847"/>
    <n v="2070.5725358669847"/>
    <n v="2070.5725358669847"/>
    <n v="30"/>
    <m/>
    <x v="10"/>
  </r>
  <r>
    <x v="0"/>
    <n v="3104105"/>
    <n v="1989077"/>
    <n v="798471"/>
    <n v="50550.48"/>
    <n v="45996.11146413302"/>
    <n v="4554.3685358669845"/>
    <n v="4554.3685358669845"/>
    <n v="4554.3685358669845"/>
    <n v="30"/>
    <m/>
    <x v="10"/>
  </r>
  <r>
    <x v="0"/>
    <n v="3104105"/>
    <n v="1994579"/>
    <n v="528067"/>
    <n v="34733.18"/>
    <n v="32021.128264133014"/>
    <n v="2712.0517358669849"/>
    <n v="2712.0517358669849"/>
    <n v="2712.0517358669849"/>
    <n v="30"/>
    <m/>
    <x v="10"/>
  </r>
  <r>
    <x v="0"/>
    <n v="3104105"/>
    <n v="2080653"/>
    <n v="261459"/>
    <n v="15182.31"/>
    <n v="14020.288664133015"/>
    <n v="1162.0213358669846"/>
    <n v="1162.0213358669846"/>
    <n v="1162.0213358669846"/>
    <n v="30"/>
    <m/>
    <x v="10"/>
  </r>
  <r>
    <x v="0"/>
    <n v="3104105"/>
    <n v="2082139"/>
    <n v="412329"/>
    <n v="28889.49"/>
    <n v="26536.046264133016"/>
    <n v="2353.4437358669848"/>
    <n v="2353.4437358669848"/>
    <n v="2353.4437358669848"/>
    <n v="30"/>
    <m/>
    <x v="10"/>
  </r>
  <r>
    <x v="0"/>
    <n v="3104105"/>
    <n v="2088914"/>
    <n v="173682.8"/>
    <n v="18086.89"/>
    <n v="16689.201464133013"/>
    <n v="1397.6885358669847"/>
    <n v="1397.6885358669847"/>
    <n v="1397.6885358669847"/>
    <n v="30"/>
    <m/>
    <x v="10"/>
  </r>
  <r>
    <x v="0"/>
    <n v="3104105"/>
    <n v="2088916"/>
    <n v="201189.6"/>
    <n v="26760.97"/>
    <n v="24671.545464133018"/>
    <n v="2089.4245358669846"/>
    <n v="2089.4245358669846"/>
    <n v="2089.4245358669846"/>
    <n v="30"/>
    <m/>
    <x v="10"/>
  </r>
  <r>
    <x v="0"/>
    <n v="3104105"/>
    <n v="2088919"/>
    <n v="233629.8"/>
    <n v="18077.95"/>
    <n v="16675.308664133016"/>
    <n v="1402.6413358669847"/>
    <n v="1402.6413358669847"/>
    <n v="1402.6413358669847"/>
    <n v="30"/>
    <m/>
    <x v="10"/>
  </r>
  <r>
    <x v="0"/>
    <n v="3104105"/>
    <n v="2088920"/>
    <n v="218770.8"/>
    <n v="23270.79"/>
    <n v="21448.289464133017"/>
    <n v="1822.5005358669846"/>
    <n v="1822.5005358669846"/>
    <n v="1822.5005358669846"/>
    <n v="30"/>
    <m/>
    <x v="10"/>
  </r>
  <r>
    <x v="0"/>
    <n v="3104105"/>
    <n v="2088924"/>
    <n v="814831"/>
    <n v="42567.75"/>
    <n v="39265.336664133014"/>
    <n v="3302.4133358669847"/>
    <n v="3302.4133358669847"/>
    <n v="3302.4133358669847"/>
    <n v="30"/>
    <m/>
    <x v="10"/>
  </r>
  <r>
    <x v="0"/>
    <n v="3104105"/>
    <n v="2088925"/>
    <n v="197386.8"/>
    <n v="21157.39"/>
    <n v="19507.426264133013"/>
    <n v="1649.9637358669845"/>
    <n v="1649.9637358669845"/>
    <n v="1649.9637358669845"/>
    <n v="30"/>
    <m/>
    <x v="10"/>
  </r>
  <r>
    <x v="0"/>
    <n v="3104105"/>
    <n v="2089804"/>
    <n v="939779"/>
    <n v="54220.71"/>
    <n v="49829.905464133015"/>
    <n v="4390.8045358669842"/>
    <n v="4390.8045358669842"/>
    <n v="4390.8045358669842"/>
    <n v="30"/>
    <m/>
    <x v="10"/>
  </r>
  <r>
    <x v="0"/>
    <n v="3104105"/>
    <n v="2103376"/>
    <n v="839517"/>
    <n v="44699.55"/>
    <n v="41034.417464133017"/>
    <n v="3665.1325358669842"/>
    <n v="3665.1325358669842"/>
    <n v="3665.1325358669842"/>
    <n v="30"/>
    <m/>
    <x v="10"/>
  </r>
  <r>
    <x v="0"/>
    <n v="3104105"/>
    <n v="2106968"/>
    <n v="255454"/>
    <n v="17922.16"/>
    <n v="16539.306664133015"/>
    <n v="1382.8533358669845"/>
    <n v="1382.8533358669845"/>
    <n v="1382.8533358669845"/>
    <n v="30"/>
    <m/>
    <x v="10"/>
  </r>
  <r>
    <x v="0"/>
    <n v="3104105"/>
    <n v="2106975"/>
    <n v="421849"/>
    <n v="30342.93"/>
    <n v="27977.875864133017"/>
    <n v="2365.0541358669848"/>
    <n v="2365.0541358669848"/>
    <n v="2365.0541358669848"/>
    <n v="30"/>
    <m/>
    <x v="10"/>
  </r>
  <r>
    <x v="0"/>
    <n v="3104105"/>
    <n v="2106976"/>
    <n v="410173"/>
    <n v="24528.41"/>
    <n v="22618.885464133014"/>
    <n v="1909.5245358669847"/>
    <n v="1909.5245358669847"/>
    <n v="1909.5245358669847"/>
    <n v="30"/>
    <m/>
    <x v="10"/>
  </r>
  <r>
    <x v="0"/>
    <n v="3104105"/>
    <n v="2106985"/>
    <n v="743423"/>
    <n v="41867.54"/>
    <n v="38574.925064133015"/>
    <n v="3292.614935866985"/>
    <n v="3292.614935866985"/>
    <n v="3292.614935866985"/>
    <n v="30"/>
    <m/>
    <x v="10"/>
  </r>
  <r>
    <x v="0"/>
    <n v="3104105"/>
    <n v="2155356"/>
    <n v="771878"/>
    <n v="42665.919999999998"/>
    <n v="39335.487464133017"/>
    <n v="3330.4325358669844"/>
    <n v="3330.4325358669844"/>
    <n v="3330.4325358669844"/>
    <n v="30"/>
    <m/>
    <x v="10"/>
  </r>
  <r>
    <x v="0"/>
    <n v="3104105"/>
    <n v="2155357"/>
    <n v="826266"/>
    <n v="51519"/>
    <n v="47449.211464133012"/>
    <n v="4069.7885358669846"/>
    <n v="4069.7885358669846"/>
    <n v="4069.7885358669846"/>
    <n v="30"/>
    <m/>
    <x v="10"/>
  </r>
  <r>
    <x v="0"/>
    <n v="3104105"/>
    <n v="2155358"/>
    <n v="716029"/>
    <n v="34568.6"/>
    <n v="31850.369064133014"/>
    <n v="2718.2309358669845"/>
    <n v="2718.2309358669845"/>
    <n v="2718.2309358669845"/>
    <n v="30"/>
    <m/>
    <x v="10"/>
  </r>
  <r>
    <x v="0"/>
    <n v="3104105"/>
    <n v="2155359"/>
    <n v="499808"/>
    <n v="32755.5"/>
    <n v="30089.939464133015"/>
    <n v="2665.560535866985"/>
    <n v="2665.560535866985"/>
    <n v="2665.560535866985"/>
    <n v="30"/>
    <m/>
    <x v="10"/>
  </r>
  <r>
    <x v="0"/>
    <n v="3104105"/>
    <n v="2155360"/>
    <n v="725984"/>
    <n v="49341.13"/>
    <n v="45268.181464133013"/>
    <n v="4072.9485358669845"/>
    <n v="4072.9485358669845"/>
    <n v="4072.9485358669845"/>
    <n v="30"/>
    <m/>
    <x v="10"/>
  </r>
  <r>
    <x v="0"/>
    <n v="3104105"/>
    <n v="2155361"/>
    <n v="668060"/>
    <n v="27966.54"/>
    <n v="25790.490664133016"/>
    <n v="2176.0493358669846"/>
    <n v="2176.0493358669846"/>
    <n v="2176.0493358669846"/>
    <n v="30"/>
    <m/>
    <x v="10"/>
  </r>
  <r>
    <x v="0"/>
    <n v="3104105"/>
    <n v="2155362"/>
    <n v="1635727"/>
    <n v="37004.370000000003"/>
    <n v="34248.002264133014"/>
    <n v="2756.3677358669847"/>
    <n v="2756.3677358669847"/>
    <n v="2756.3677358669847"/>
    <n v="30"/>
    <m/>
    <x v="10"/>
  </r>
  <r>
    <x v="0"/>
    <n v="3104105"/>
    <n v="2155363"/>
    <n v="777676"/>
    <n v="40254.6"/>
    <n v="37136.05946413301"/>
    <n v="3118.540535866985"/>
    <n v="3118.540535866985"/>
    <n v="3118.540535866985"/>
    <n v="30"/>
    <m/>
    <x v="10"/>
  </r>
  <r>
    <x v="0"/>
    <n v="3104105"/>
    <n v="2155364"/>
    <n v="759300"/>
    <n v="48116.99"/>
    <n v="44342.432664133012"/>
    <n v="3774.5573358669849"/>
    <n v="3774.5573358669849"/>
    <n v="3774.5573358669849"/>
    <n v="30"/>
    <m/>
    <x v="10"/>
  </r>
  <r>
    <x v="0"/>
    <n v="3104105"/>
    <n v="2155365"/>
    <n v="375090"/>
    <n v="22120.01"/>
    <n v="20408.863064133013"/>
    <n v="1711.1469358669847"/>
    <n v="1711.1469358669847"/>
    <n v="1711.1469358669847"/>
    <n v="30"/>
    <m/>
    <x v="10"/>
  </r>
  <r>
    <x v="0"/>
    <n v="3104105"/>
    <n v="2155366"/>
    <n v="745747"/>
    <n v="36053.839999999997"/>
    <n v="33226.048264133009"/>
    <n v="2827.7917358669847"/>
    <n v="2827.7917358669847"/>
    <n v="2827.7917358669847"/>
    <n v="30"/>
    <m/>
    <x v="10"/>
  </r>
  <r>
    <x v="0"/>
    <n v="3104105"/>
    <n v="2155367"/>
    <n v="820689"/>
    <n v="41317.46"/>
    <n v="38065.353064133014"/>
    <n v="3252.1069358669843"/>
    <n v="3252.1069358669843"/>
    <n v="3252.1069358669843"/>
    <n v="30"/>
    <m/>
    <x v="10"/>
  </r>
  <r>
    <x v="0"/>
    <n v="3104105"/>
    <n v="2155368"/>
    <n v="829326"/>
    <n v="43583.24"/>
    <n v="39913.113064133016"/>
    <n v="3670.1269358669842"/>
    <n v="3670.1269358669842"/>
    <n v="3670.1269358669842"/>
    <n v="30"/>
    <m/>
    <x v="10"/>
  </r>
  <r>
    <x v="0"/>
    <n v="3104105"/>
    <n v="2177045"/>
    <n v="283986"/>
    <n v="25385.99"/>
    <n v="23424.202264133019"/>
    <n v="1961.7877358669846"/>
    <n v="1961.7877358669846"/>
    <n v="1961.7877358669846"/>
    <n v="30"/>
    <m/>
    <x v="10"/>
  </r>
  <r>
    <x v="0"/>
    <n v="3104105"/>
    <n v="2177046"/>
    <n v="289685.40000000002"/>
    <n v="31970.16"/>
    <n v="29447.533864133016"/>
    <n v="2522.6261358669844"/>
    <n v="2522.6261358669844"/>
    <n v="2522.6261358669844"/>
    <n v="30"/>
    <m/>
    <x v="10"/>
  </r>
  <r>
    <x v="0"/>
    <n v="3104105"/>
    <n v="2182158"/>
    <n v="275907"/>
    <n v="33077.599999999999"/>
    <n v="30473.781064133014"/>
    <n v="2603.8189358669847"/>
    <n v="2603.8189358669847"/>
    <n v="2603.8189358669847"/>
    <n v="30"/>
    <m/>
    <x v="10"/>
  </r>
  <r>
    <x v="0"/>
    <n v="3104105"/>
    <n v="2182159"/>
    <n v="183663.6"/>
    <n v="22864.71"/>
    <n v="21083.610264133014"/>
    <n v="1781.0997358669847"/>
    <n v="1781.0997358669847"/>
    <n v="1781.0997358669847"/>
    <n v="30"/>
    <m/>
    <x v="10"/>
  </r>
  <r>
    <x v="0"/>
    <n v="3104105"/>
    <n v="2188600"/>
    <n v="699415"/>
    <n v="-28379.9"/>
    <n v="-26085.300535866987"/>
    <n v="-2294.5994641330158"/>
    <n v="-2294.5994641330158"/>
    <n v="-2294.5994641330158"/>
    <n v="30"/>
    <m/>
    <x v="10"/>
  </r>
  <r>
    <x v="0"/>
    <n v="3104105"/>
    <n v="2188872"/>
    <n v="333191.40000000002"/>
    <n v="37859.870000000003"/>
    <n v="34874.469464133021"/>
    <n v="2985.4005358669847"/>
    <n v="2985.4005358669847"/>
    <n v="2985.4005358669847"/>
    <n v="30"/>
    <m/>
    <x v="10"/>
  </r>
  <r>
    <x v="0"/>
    <n v="3104105"/>
    <n v="2188873"/>
    <n v="340420.2"/>
    <n v="26504.25"/>
    <n v="24411.230264133017"/>
    <n v="2093.0197358669848"/>
    <n v="2093.0197358669848"/>
    <n v="2093.0197358669848"/>
    <n v="30"/>
    <m/>
    <x v="10"/>
  </r>
  <r>
    <x v="0"/>
    <n v="3104105"/>
    <n v="2188874"/>
    <n v="296668.2"/>
    <n v="35986.370000000003"/>
    <n v="33171.511064133017"/>
    <n v="2814.8589358669847"/>
    <n v="2814.8589358669847"/>
    <n v="2814.8589358669847"/>
    <n v="30"/>
    <m/>
    <x v="10"/>
  </r>
  <r>
    <x v="0"/>
    <n v="3104105"/>
    <n v="2188880"/>
    <n v="330353"/>
    <n v="31262.68"/>
    <n v="28803.483464133016"/>
    <n v="2459.1965358669845"/>
    <n v="2459.1965358669845"/>
    <n v="2459.1965358669845"/>
    <n v="30"/>
    <m/>
    <x v="10"/>
  </r>
  <r>
    <x v="0"/>
    <n v="3104105"/>
    <n v="2194673"/>
    <n v="64572"/>
    <n v="5735.12"/>
    <n v="5165.1154641330149"/>
    <n v="570.00453586698461"/>
    <n v="570.00453586698461"/>
    <n v="570.00453586698461"/>
    <n v="3"/>
    <m/>
    <x v="10"/>
  </r>
  <r>
    <x v="0"/>
    <n v="3104105"/>
    <n v="2194674"/>
    <n v="62255"/>
    <n v="3178.62"/>
    <n v="2916.8298641330152"/>
    <n v="261.7901358669846"/>
    <n v="261.7901358669846"/>
    <n v="261.7901358669846"/>
    <n v="3"/>
    <m/>
    <x v="10"/>
  </r>
  <r>
    <x v="0"/>
    <n v="3104105"/>
    <n v="2194675"/>
    <n v="81927"/>
    <n v="4117.76"/>
    <n v="3684.6002641330156"/>
    <n v="433.15973586698465"/>
    <n v="433.15973586698465"/>
    <n v="433.15973586698465"/>
    <n v="3"/>
    <m/>
    <x v="10"/>
  </r>
  <r>
    <x v="0"/>
    <n v="3104105"/>
    <n v="2194676"/>
    <n v="67806"/>
    <n v="1235.7"/>
    <n v="1109.4674641330155"/>
    <n v="126.23253586698461"/>
    <n v="126.23253586698461"/>
    <n v="126.23253586698461"/>
    <n v="3"/>
    <m/>
    <x v="10"/>
  </r>
  <r>
    <x v="0"/>
    <n v="3104105"/>
    <n v="2194677"/>
    <n v="65988"/>
    <n v="-631.650000000001"/>
    <n v="-743.42093586698559"/>
    <n v="111.7709358669846"/>
    <n v="111.7709358669846"/>
    <n v="111.7709358669846"/>
    <n v="3"/>
    <m/>
    <x v="10"/>
  </r>
  <r>
    <x v="0"/>
    <n v="3104105"/>
    <n v="2194678"/>
    <n v="66391"/>
    <n v="-655.61999999999898"/>
    <n v="-807.7069358669836"/>
    <n v="152.08693586698462"/>
    <n v="152.08693586698462"/>
    <n v="152.08693586698462"/>
    <n v="3"/>
    <m/>
    <x v="10"/>
  </r>
  <r>
    <x v="0"/>
    <n v="3104105"/>
    <n v="2207995"/>
    <n v="360458.25"/>
    <n v="30430.639999999999"/>
    <n v="28074.721864133015"/>
    <n v="2355.9181358669848"/>
    <n v="2355.9181358669848"/>
    <n v="2355.9181358669848"/>
    <n v="30"/>
    <m/>
    <x v="10"/>
  </r>
  <r>
    <x v="0"/>
    <n v="3104105"/>
    <n v="2208005"/>
    <n v="306308"/>
    <n v="24708.12"/>
    <n v="22796.974664133013"/>
    <n v="1911.1453358669846"/>
    <n v="1911.1453358669846"/>
    <n v="1911.1453358669846"/>
    <n v="30"/>
    <m/>
    <x v="10"/>
  </r>
  <r>
    <x v="0"/>
    <n v="3104105"/>
    <n v="2211723"/>
    <n v="297843"/>
    <n v="28712.92"/>
    <n v="26472.044264133016"/>
    <n v="2240.8757358669845"/>
    <n v="2240.8757358669845"/>
    <n v="2240.8757358669845"/>
    <n v="30"/>
    <m/>
    <x v="10"/>
  </r>
  <r>
    <x v="0"/>
    <n v="3104105"/>
    <n v="2211724"/>
    <n v="380379.75"/>
    <n v="34527.22"/>
    <n v="31827.493064133017"/>
    <n v="2699.7269358669846"/>
    <n v="2699.7269358669846"/>
    <n v="2699.7269358669846"/>
    <n v="30"/>
    <m/>
    <x v="10"/>
  </r>
  <r>
    <x v="0"/>
    <n v="3104105"/>
    <n v="2211729"/>
    <n v="305988.25"/>
    <n v="24949.33"/>
    <n v="22981.057464133017"/>
    <n v="1968.2725358669848"/>
    <n v="1968.2725358669848"/>
    <n v="1968.2725358669848"/>
    <n v="30"/>
    <m/>
    <x v="10"/>
  </r>
  <r>
    <x v="0"/>
    <n v="3104105"/>
    <n v="2219573"/>
    <n v="795869.5"/>
    <n v="55828.47"/>
    <n v="51378.634264133019"/>
    <n v="4449.8357358669846"/>
    <n v="4449.8357358669846"/>
    <n v="4449.8357358669846"/>
    <n v="30"/>
    <m/>
    <x v="10"/>
  </r>
  <r>
    <x v="0"/>
    <n v="3104105"/>
    <n v="2219575"/>
    <n v="560856"/>
    <n v="25736.13"/>
    <n v="23729.904664133017"/>
    <n v="2006.2253358669846"/>
    <n v="2006.2253358669846"/>
    <n v="2006.2253358669846"/>
    <n v="30"/>
    <m/>
    <x v="10"/>
  </r>
  <r>
    <x v="0"/>
    <n v="3104105"/>
    <n v="2219576"/>
    <n v="588615"/>
    <n v="31103.03"/>
    <n v="28655.952664133016"/>
    <n v="2447.0773358669849"/>
    <n v="2447.0773358669849"/>
    <n v="2447.0773358669849"/>
    <n v="30"/>
    <m/>
    <x v="10"/>
  </r>
  <r>
    <x v="0"/>
    <n v="3104105"/>
    <n v="2219577"/>
    <n v="507094"/>
    <n v="11008.57"/>
    <n v="10157.933464133015"/>
    <n v="850.63653586698456"/>
    <n v="850.63653586698456"/>
    <n v="850.63653586698456"/>
    <n v="30"/>
    <m/>
    <x v="10"/>
  </r>
  <r>
    <x v="0"/>
    <n v="3104105"/>
    <n v="2219578"/>
    <n v="1298662"/>
    <n v="16830.53"/>
    <n v="15546.658264133013"/>
    <n v="1283.8717358669849"/>
    <n v="1283.8717358669849"/>
    <n v="1283.8717358669849"/>
    <n v="30"/>
    <m/>
    <x v="10"/>
  </r>
  <r>
    <x v="0"/>
    <n v="3104105"/>
    <n v="2219579"/>
    <n v="673503"/>
    <n v="32375.07"/>
    <n v="29618.777464133014"/>
    <n v="2756.2925358669845"/>
    <n v="2756.2925358669845"/>
    <n v="2756.2925358669845"/>
    <n v="30"/>
    <m/>
    <x v="10"/>
  </r>
  <r>
    <x v="0"/>
    <n v="3104105"/>
    <n v="2219580"/>
    <n v="264915"/>
    <n v="18202.689999999999"/>
    <n v="16838.210264133013"/>
    <n v="1364.4797358669846"/>
    <n v="1364.4797358669846"/>
    <n v="1364.4797358669846"/>
    <n v="30"/>
    <m/>
    <x v="10"/>
  </r>
  <r>
    <x v="0"/>
    <n v="3104105"/>
    <n v="2219581"/>
    <n v="337345"/>
    <n v="24116.06"/>
    <n v="22281.049864133016"/>
    <n v="1835.0101358669847"/>
    <n v="1835.0101358669847"/>
    <n v="1835.0101358669847"/>
    <n v="30"/>
    <m/>
    <x v="10"/>
  </r>
  <r>
    <x v="0"/>
    <n v="3104105"/>
    <n v="2219892"/>
    <n v="317622.87"/>
    <n v="27631.61"/>
    <n v="25454.291864133018"/>
    <n v="2177.3181358669844"/>
    <n v="2177.3181358669844"/>
    <n v="2177.3181358669844"/>
    <n v="30"/>
    <m/>
    <x v="10"/>
  </r>
  <r>
    <x v="0"/>
    <n v="3104105"/>
    <n v="2220567"/>
    <n v="468294"/>
    <n v="38816.61"/>
    <n v="35779.529464133018"/>
    <n v="3037.080535866985"/>
    <n v="3037.080535866985"/>
    <n v="3037.080535866985"/>
    <n v="30"/>
    <m/>
    <x v="10"/>
  </r>
  <r>
    <x v="0"/>
    <n v="3104105"/>
    <n v="2220568"/>
    <n v="503049"/>
    <n v="20746.79"/>
    <n v="19120.510264133016"/>
    <n v="1626.2797358669848"/>
    <n v="1626.2797358669848"/>
    <n v="1626.2797358669848"/>
    <n v="30"/>
    <m/>
    <x v="10"/>
  </r>
  <r>
    <x v="0"/>
    <n v="3104105"/>
    <n v="2220569"/>
    <n v="689583"/>
    <n v="33100.29"/>
    <n v="30580.674264133017"/>
    <n v="2519.6157358669848"/>
    <n v="2519.6157358669848"/>
    <n v="2519.6157358669848"/>
    <n v="30"/>
    <m/>
    <x v="10"/>
  </r>
  <r>
    <x v="0"/>
    <n v="3104105"/>
    <n v="2220570"/>
    <n v="703247"/>
    <n v="43672.13"/>
    <n v="40246.546264133009"/>
    <n v="3425.5837358669851"/>
    <n v="3425.5837358669851"/>
    <n v="3425.5837358669851"/>
    <n v="30"/>
    <m/>
    <x v="10"/>
  </r>
  <r>
    <x v="0"/>
    <n v="3104105"/>
    <n v="2220571"/>
    <n v="288161.59999999998"/>
    <n v="25358.15"/>
    <n v="23404.571864133017"/>
    <n v="1953.5781358669847"/>
    <n v="1953.5781358669847"/>
    <n v="1953.5781358669847"/>
    <n v="30"/>
    <m/>
    <x v="10"/>
  </r>
  <r>
    <x v="0"/>
    <n v="3104105"/>
    <n v="2220572"/>
    <n v="187923.6"/>
    <n v="14897.01"/>
    <n v="13761.757464133016"/>
    <n v="1135.2525358669845"/>
    <n v="1135.2525358669845"/>
    <n v="1135.2525358669845"/>
    <n v="30"/>
    <m/>
    <x v="10"/>
  </r>
  <r>
    <x v="0"/>
    <n v="3104105"/>
    <n v="2220573"/>
    <n v="253721.60000000001"/>
    <n v="18216.3"/>
    <n v="16838.791464133014"/>
    <n v="1377.5085358669846"/>
    <n v="1377.5085358669846"/>
    <n v="1377.5085358669846"/>
    <n v="30"/>
    <m/>
    <x v="10"/>
  </r>
  <r>
    <x v="0"/>
    <n v="3104105"/>
    <n v="2220574"/>
    <n v="555190"/>
    <n v="27044.21"/>
    <n v="24927.761464133015"/>
    <n v="2116.4485358669849"/>
    <n v="2116.4485358669849"/>
    <n v="2116.4485358669849"/>
    <n v="30"/>
    <m/>
    <x v="10"/>
  </r>
  <r>
    <x v="0"/>
    <n v="3104105"/>
    <n v="2220576"/>
    <n v="235794.8"/>
    <n v="17029.88"/>
    <n v="15703.261864133015"/>
    <n v="1326.6181358669846"/>
    <n v="1326.6181358669846"/>
    <n v="1326.6181358669846"/>
    <n v="30"/>
    <m/>
    <x v="10"/>
  </r>
  <r>
    <x v="0"/>
    <n v="3104105"/>
    <n v="2226646"/>
    <n v="757352"/>
    <n v="22146.65"/>
    <n v="20470.116664133016"/>
    <n v="1676.5333358669845"/>
    <n v="1676.5333358669845"/>
    <n v="1676.5333358669845"/>
    <n v="30"/>
    <m/>
    <x v="10"/>
  </r>
  <r>
    <x v="0"/>
    <n v="3104105"/>
    <n v="2229743"/>
    <n v="473419"/>
    <n v="23257.16"/>
    <n v="21475.569064133015"/>
    <n v="1781.5909358669846"/>
    <n v="1781.5909358669846"/>
    <n v="1781.5909358669846"/>
    <n v="30"/>
    <m/>
    <x v="10"/>
  </r>
  <r>
    <x v="0"/>
    <n v="3104105"/>
    <n v="2230467"/>
    <n v="284175.5"/>
    <n v="30126.11"/>
    <n v="27834.350264133016"/>
    <n v="2291.7597358669846"/>
    <n v="2291.7597358669846"/>
    <n v="2291.7597358669846"/>
    <n v="30"/>
    <m/>
    <x v="10"/>
  </r>
  <r>
    <x v="0"/>
    <n v="3104105"/>
    <n v="2255594"/>
    <n v="1177196"/>
    <n v="29220.49"/>
    <n v="26986.542264133015"/>
    <n v="2233.9477358669847"/>
    <n v="2233.9477358669847"/>
    <n v="2233.9477358669847"/>
    <n v="30"/>
    <m/>
    <x v="10"/>
  </r>
  <r>
    <x v="0"/>
    <n v="3104105"/>
    <n v="2255595"/>
    <n v="738888"/>
    <n v="39184.04"/>
    <n v="36137.146664133019"/>
    <n v="3046.8933358669847"/>
    <n v="3046.8933358669847"/>
    <n v="3046.8933358669847"/>
    <n v="30"/>
    <m/>
    <x v="10"/>
  </r>
  <r>
    <x v="0"/>
    <n v="3104105"/>
    <n v="2255596"/>
    <n v="691320"/>
    <n v="34302.51"/>
    <n v="31622.306264133018"/>
    <n v="2680.203735866985"/>
    <n v="2680.203735866985"/>
    <n v="2680.203735866985"/>
    <n v="30"/>
    <m/>
    <x v="10"/>
  </r>
  <r>
    <x v="0"/>
    <n v="3104105"/>
    <n v="2255597"/>
    <n v="488932"/>
    <n v="22901.78"/>
    <n v="21133.470664133016"/>
    <n v="1768.3093358669846"/>
    <n v="1768.3093358669846"/>
    <n v="1768.3093358669846"/>
    <n v="30"/>
    <m/>
    <x v="10"/>
  </r>
  <r>
    <x v="0"/>
    <n v="3104105"/>
    <n v="2369768"/>
    <n v="9014.49"/>
    <n v="1163"/>
    <n v="1118.8874641330153"/>
    <n v="44.112535866984587"/>
    <n v="44.112535866984587"/>
    <n v="44.112535866984587"/>
    <n v="3"/>
    <m/>
    <x v="10"/>
  </r>
  <r>
    <x v="0"/>
    <n v="3104105"/>
    <n v="2369769"/>
    <n v="14764.95"/>
    <n v="-253.26"/>
    <n v="-188.64213586698457"/>
    <n v="-64.617864133015416"/>
    <n v="-64.617864133015416"/>
    <n v="-64.617864133015416"/>
    <n v="3"/>
    <m/>
    <x v="10"/>
  </r>
  <r>
    <x v="0"/>
    <n v="3104105"/>
    <n v="2369775"/>
    <n v="12610.08"/>
    <n v="-85.029999999999703"/>
    <n v="-51.589735866984299"/>
    <n v="-33.440264133015404"/>
    <n v="-33.440264133015404"/>
    <n v="-33.440264133015404"/>
    <n v="3"/>
    <m/>
    <x v="10"/>
  </r>
  <r>
    <x v="0"/>
    <n v="3104105"/>
    <n v="2372526"/>
    <n v="336453.2"/>
    <n v="35199.599999999999"/>
    <n v="32364.087464133016"/>
    <n v="2835.5125358669843"/>
    <n v="2835.5125358669843"/>
    <n v="2835.5125358669843"/>
    <n v="30"/>
    <m/>
    <x v="10"/>
  </r>
  <r>
    <x v="0"/>
    <n v="3104105"/>
    <n v="2372527"/>
    <n v="136573.79999999999"/>
    <n v="9933.5300000000007"/>
    <n v="9114.2822641330167"/>
    <n v="819.24773586698473"/>
    <n v="819.24773586698473"/>
    <n v="819.24773586698473"/>
    <n v="30"/>
    <m/>
    <x v="10"/>
  </r>
  <r>
    <x v="0"/>
    <n v="3104105"/>
    <n v="2372529"/>
    <n v="208299.6"/>
    <n v="13409.19"/>
    <n v="12370.334264133016"/>
    <n v="1038.8557358669846"/>
    <n v="1038.8557358669846"/>
    <n v="1038.8557358669846"/>
    <n v="30"/>
    <m/>
    <x v="10"/>
  </r>
  <r>
    <x v="0"/>
    <n v="3104105"/>
    <n v="2372530"/>
    <n v="317861.75"/>
    <n v="32650.78"/>
    <n v="30053.998664133014"/>
    <n v="2596.7813358669846"/>
    <n v="2596.7813358669846"/>
    <n v="2596.7813358669846"/>
    <n v="30"/>
    <m/>
    <x v="10"/>
  </r>
  <r>
    <x v="0"/>
    <n v="3104105"/>
    <n v="2377913"/>
    <n v="220019.5"/>
    <n v="13012.42"/>
    <n v="11957.871464133015"/>
    <n v="1054.5485358669846"/>
    <n v="1054.5485358669846"/>
    <n v="1054.5485358669846"/>
    <n v="30"/>
    <m/>
    <x v="10"/>
  </r>
  <r>
    <x v="0"/>
    <n v="3104105"/>
    <n v="2377928"/>
    <n v="105173.75"/>
    <n v="13089.11"/>
    <n v="12081.936664133016"/>
    <n v="1007.1733358669846"/>
    <n v="1007.1733358669846"/>
    <n v="1007.1733358669846"/>
    <n v="30"/>
    <m/>
    <x v="10"/>
  </r>
  <r>
    <x v="0"/>
    <n v="3104105"/>
    <n v="2381476"/>
    <n v="229025.5"/>
    <n v="7475.4800000000096"/>
    <n v="6836.8690641330249"/>
    <n v="638.61093586698462"/>
    <n v="638.61093586698462"/>
    <n v="638.61093586698462"/>
    <n v="30"/>
    <m/>
    <x v="10"/>
  </r>
  <r>
    <x v="0"/>
    <n v="3104105"/>
    <n v="2388128"/>
    <n v="415019.5"/>
    <n v="32051.3"/>
    <n v="29520.878664133015"/>
    <n v="2530.4213358669849"/>
    <n v="2530.4213358669849"/>
    <n v="2530.4213358669849"/>
    <n v="30"/>
    <m/>
    <x v="10"/>
  </r>
  <r>
    <x v="0"/>
    <n v="3104105"/>
    <n v="2388284"/>
    <n v="431228.25"/>
    <n v="38172.129999999997"/>
    <n v="35203.844664133016"/>
    <n v="2968.2853358669845"/>
    <n v="2968.2853358669845"/>
    <n v="2968.2853358669845"/>
    <n v="30"/>
    <m/>
    <x v="10"/>
  </r>
  <r>
    <x v="0"/>
    <n v="3104105"/>
    <n v="2388302"/>
    <n v="412240"/>
    <n v="29032.69"/>
    <n v="26789.967864133014"/>
    <n v="2242.7221358669844"/>
    <n v="2242.7221358669844"/>
    <n v="2242.7221358669844"/>
    <n v="30"/>
    <m/>
    <x v="10"/>
  </r>
  <r>
    <x v="0"/>
    <n v="3104105"/>
    <n v="2390094"/>
    <n v="228695.67"/>
    <n v="21552.09"/>
    <n v="19876.767064133015"/>
    <n v="1675.3229358669848"/>
    <n v="1675.3229358669848"/>
    <n v="1675.3229358669848"/>
    <n v="30"/>
    <m/>
    <x v="10"/>
  </r>
  <r>
    <x v="0"/>
    <n v="3104105"/>
    <n v="2391187"/>
    <n v="14065.11"/>
    <n v="1505.32"/>
    <n v="1430.6938641330153"/>
    <n v="74.626135866984598"/>
    <n v="74.626135866984598"/>
    <n v="74.626135866984598"/>
    <n v="3"/>
    <m/>
    <x v="10"/>
  </r>
  <r>
    <x v="0"/>
    <n v="3104105"/>
    <n v="2391188"/>
    <n v="229583.7"/>
    <n v="21514.87"/>
    <n v="19869.015864133013"/>
    <n v="1645.8541358669847"/>
    <n v="1645.8541358669847"/>
    <n v="1645.8541358669847"/>
    <n v="30"/>
    <m/>
    <x v="10"/>
  </r>
  <r>
    <x v="0"/>
    <n v="3104105"/>
    <n v="2392977"/>
    <n v="225523.9"/>
    <n v="28560.880000000001"/>
    <n v="26322.402664133017"/>
    <n v="2238.477335866985"/>
    <n v="2238.477335866985"/>
    <n v="2238.477335866985"/>
    <n v="30"/>
    <m/>
    <x v="10"/>
  </r>
  <r>
    <x v="0"/>
    <n v="3104105"/>
    <n v="2394127"/>
    <n v="268808.76"/>
    <n v="34807.82"/>
    <n v="32038.355464133016"/>
    <n v="2769.4645358669845"/>
    <n v="2769.4645358669845"/>
    <n v="2769.4645358669845"/>
    <n v="30"/>
    <m/>
    <x v="10"/>
  </r>
  <r>
    <x v="0"/>
    <n v="3104105"/>
    <n v="2402979"/>
    <n v="393256"/>
    <n v="32157.13"/>
    <n v="29575.302264133017"/>
    <n v="2581.8277358669848"/>
    <n v="2581.8277358669848"/>
    <n v="2581.8277358669848"/>
    <n v="30"/>
    <m/>
    <x v="10"/>
  </r>
  <r>
    <x v="0"/>
    <n v="3104105"/>
    <n v="2404569"/>
    <n v="273902"/>
    <n v="27266.2"/>
    <n v="25111.816264133016"/>
    <n v="2154.3837358669848"/>
    <n v="2154.3837358669848"/>
    <n v="2154.3837358669848"/>
    <n v="30"/>
    <m/>
    <x v="10"/>
  </r>
  <r>
    <x v="0"/>
    <n v="3104105"/>
    <n v="2405141"/>
    <n v="206231.5"/>
    <n v="11929"/>
    <n v="11030.129864133016"/>
    <n v="898.87013586698458"/>
    <n v="898.87013586698458"/>
    <n v="898.87013586698458"/>
    <n v="30"/>
    <m/>
    <x v="10"/>
  </r>
  <r>
    <x v="0"/>
    <n v="3104105"/>
    <n v="2407260"/>
    <n v="139489.79999999999"/>
    <n v="7641.8700000000099"/>
    <n v="6973.1686641330252"/>
    <n v="668.70133586698466"/>
    <n v="668.70133586698466"/>
    <n v="668.70133586698466"/>
    <n v="30"/>
    <m/>
    <x v="10"/>
  </r>
  <r>
    <x v="0"/>
    <n v="3104105"/>
    <n v="2407261"/>
    <n v="101502"/>
    <n v="4555.83"/>
    <n v="4238.9150641330152"/>
    <n v="316.91493586698459"/>
    <n v="316.91493586698459"/>
    <n v="316.91493586698459"/>
    <n v="30"/>
    <m/>
    <x v="10"/>
  </r>
  <r>
    <x v="0"/>
    <n v="3104105"/>
    <n v="2407264"/>
    <n v="133581.6"/>
    <n v="20464.14"/>
    <n v="18881.876264133014"/>
    <n v="1582.2637358669847"/>
    <n v="1582.2637358669847"/>
    <n v="1582.2637358669847"/>
    <n v="30"/>
    <m/>
    <x v="10"/>
  </r>
  <r>
    <x v="0"/>
    <n v="3104105"/>
    <n v="2407265"/>
    <n v="233744"/>
    <n v="20546.919999999998"/>
    <n v="18841.706664133013"/>
    <n v="1705.2133358669846"/>
    <n v="1705.2133358669846"/>
    <n v="1705.2133358669846"/>
    <n v="30"/>
    <m/>
    <x v="10"/>
  </r>
  <r>
    <x v="0"/>
    <n v="3104105"/>
    <n v="2408999"/>
    <n v="302676"/>
    <n v="11554.62"/>
    <n v="10678.454664133016"/>
    <n v="876.16533586698461"/>
    <n v="876.16533586698461"/>
    <n v="876.16533586698461"/>
    <n v="30"/>
    <m/>
    <x v="10"/>
  </r>
  <r>
    <x v="0"/>
    <n v="3104105"/>
    <n v="2411349"/>
    <n v="331651.5"/>
    <n v="29775.119999999999"/>
    <n v="27401.093064133012"/>
    <n v="2374.0269358669848"/>
    <n v="2374.0269358669848"/>
    <n v="2374.0269358669848"/>
    <n v="30"/>
    <m/>
    <x v="10"/>
  </r>
  <r>
    <x v="0"/>
    <n v="3104105"/>
    <n v="2412949"/>
    <n v="349790.8"/>
    <n v="32015.49"/>
    <n v="29481.254264133018"/>
    <n v="2534.2357358669847"/>
    <n v="2534.2357358669847"/>
    <n v="2534.2357358669847"/>
    <n v="30"/>
    <m/>
    <x v="10"/>
  </r>
  <r>
    <x v="0"/>
    <n v="3104105"/>
    <n v="2413864"/>
    <n v="333003.59999999998"/>
    <n v="35345.040000000001"/>
    <n v="32575.434664133016"/>
    <n v="2769.6053358669847"/>
    <n v="2769.6053358669847"/>
    <n v="2769.6053358669847"/>
    <n v="30"/>
    <m/>
    <x v="10"/>
  </r>
  <r>
    <x v="0"/>
    <n v="3104105"/>
    <n v="2414756"/>
    <n v="253954.5"/>
    <n v="20199.45"/>
    <n v="18617.408664133014"/>
    <n v="1582.0413358669848"/>
    <n v="1582.0413358669848"/>
    <n v="1582.0413358669848"/>
    <n v="30"/>
    <m/>
    <x v="10"/>
  </r>
  <r>
    <x v="0"/>
    <n v="3104105"/>
    <n v="2414757"/>
    <n v="174904.5"/>
    <n v="26477.63"/>
    <n v="24401.647864133018"/>
    <n v="2075.9821358669847"/>
    <n v="2075.9821358669847"/>
    <n v="2075.9821358669847"/>
    <n v="30"/>
    <m/>
    <x v="10"/>
  </r>
  <r>
    <x v="0"/>
    <n v="3104105"/>
    <n v="2414758"/>
    <n v="188429.25"/>
    <n v="19565.97"/>
    <n v="18055.177464133016"/>
    <n v="1510.7925358669847"/>
    <n v="1510.7925358669847"/>
    <n v="1510.7925358669847"/>
    <n v="30"/>
    <m/>
    <x v="10"/>
  </r>
  <r>
    <x v="0"/>
    <n v="3104105"/>
    <n v="2414898"/>
    <n v="318913.5"/>
    <n v="32090.14"/>
    <n v="29541.350664133017"/>
    <n v="2548.7893358669844"/>
    <n v="2548.7893358669844"/>
    <n v="2548.7893358669844"/>
    <n v="30"/>
    <m/>
    <x v="10"/>
  </r>
  <r>
    <x v="0"/>
    <n v="3104105"/>
    <n v="2414918"/>
    <n v="249196.5"/>
    <n v="11448.93"/>
    <n v="10451.546264133016"/>
    <n v="997.38373586698458"/>
    <n v="997.38373586698458"/>
    <n v="997.38373586698458"/>
    <n v="30"/>
    <m/>
    <x v="10"/>
  </r>
  <r>
    <x v="0"/>
    <n v="3104105"/>
    <n v="2417099"/>
    <n v="221726.97"/>
    <n v="24766.68"/>
    <n v="22836.303464133016"/>
    <n v="1930.3765358669846"/>
    <n v="1930.3765358669846"/>
    <n v="1930.3765358669846"/>
    <n v="30"/>
    <m/>
    <x v="10"/>
  </r>
  <r>
    <x v="0"/>
    <n v="3104105"/>
    <n v="2417101"/>
    <n v="217219.05"/>
    <n v="12139.38"/>
    <n v="11234.000264133014"/>
    <n v="905.37973586698467"/>
    <n v="905.37973586698467"/>
    <n v="905.37973586698467"/>
    <n v="30"/>
    <m/>
    <x v="10"/>
  </r>
  <r>
    <x v="0"/>
    <n v="3104105"/>
    <n v="2417102"/>
    <n v="311568"/>
    <n v="24000.880000000001"/>
    <n v="22227.369864133016"/>
    <n v="1773.5101358669847"/>
    <n v="1773.5101358669847"/>
    <n v="1773.5101358669847"/>
    <n v="30"/>
    <m/>
    <x v="10"/>
  </r>
  <r>
    <x v="0"/>
    <n v="3104105"/>
    <n v="2417104"/>
    <n v="219221.1"/>
    <n v="21816.5"/>
    <n v="20159.695464133016"/>
    <n v="1656.8045358669847"/>
    <n v="1656.8045358669847"/>
    <n v="1656.8045358669847"/>
    <n v="30"/>
    <m/>
    <x v="10"/>
  </r>
  <r>
    <x v="0"/>
    <n v="3104105"/>
    <n v="2417723"/>
    <n v="261738.81"/>
    <n v="22488.19"/>
    <n v="20662.340664133015"/>
    <n v="1825.8493358669846"/>
    <n v="1825.8493358669846"/>
    <n v="1825.8493358669846"/>
    <n v="30"/>
    <m/>
    <x v="10"/>
  </r>
  <r>
    <x v="0"/>
    <n v="3104105"/>
    <n v="2417725"/>
    <n v="251737.74"/>
    <n v="22564.7"/>
    <n v="20763.753864133017"/>
    <n v="1800.9461358669846"/>
    <n v="1800.9461358669846"/>
    <n v="1800.9461358669846"/>
    <n v="30"/>
    <m/>
    <x v="10"/>
  </r>
  <r>
    <x v="0"/>
    <n v="3104105"/>
    <n v="2419734"/>
    <n v="174700.24"/>
    <n v="11744.68"/>
    <n v="10860.440264133016"/>
    <n v="884.23973586698469"/>
    <n v="884.23973586698469"/>
    <n v="884.23973586698469"/>
    <n v="30"/>
    <m/>
    <x v="10"/>
  </r>
  <r>
    <x v="0"/>
    <n v="3104105"/>
    <n v="2419757"/>
    <n v="212661.2"/>
    <n v="27408.47"/>
    <n v="25271.127064133016"/>
    <n v="2137.3429358669846"/>
    <n v="2137.3429358669846"/>
    <n v="2137.3429358669846"/>
    <n v="30"/>
    <m/>
    <x v="10"/>
  </r>
  <r>
    <x v="0"/>
    <n v="3104105"/>
    <n v="2419758"/>
    <n v="165195.35999999999"/>
    <n v="23238.04"/>
    <n v="21434.331464133014"/>
    <n v="1803.7085358669847"/>
    <n v="1803.7085358669847"/>
    <n v="1803.7085358669847"/>
    <n v="30"/>
    <m/>
    <x v="10"/>
  </r>
  <r>
    <x v="0"/>
    <n v="3104105"/>
    <n v="2433428"/>
    <n v="165582.6"/>
    <n v="3637.21000000001"/>
    <n v="3380.4318641330256"/>
    <n v="256.7781358669846"/>
    <n v="256.7781358669846"/>
    <n v="256.7781358669846"/>
    <n v="30"/>
    <m/>
    <x v="10"/>
  </r>
  <r>
    <x v="0"/>
    <n v="3104105"/>
    <n v="2434002"/>
    <n v="454131"/>
    <n v="34268.230000000003"/>
    <n v="31560.875864133021"/>
    <n v="2707.3541358669845"/>
    <n v="2707.3541358669845"/>
    <n v="2707.3541358669845"/>
    <n v="30"/>
    <m/>
    <x v="10"/>
  </r>
  <r>
    <x v="0"/>
    <n v="3104105"/>
    <n v="2439795"/>
    <n v="318337.2"/>
    <n v="30392.799999999999"/>
    <n v="28016.726664133013"/>
    <n v="2376.0733358669845"/>
    <n v="2376.0733358669845"/>
    <n v="2376.0733358669845"/>
    <n v="30"/>
    <m/>
    <x v="10"/>
  </r>
  <r>
    <x v="0"/>
    <n v="3104105"/>
    <n v="2439797"/>
    <n v="337790"/>
    <n v="32372.65"/>
    <n v="29846.412664133015"/>
    <n v="2526.2373358669847"/>
    <n v="2526.2373358669847"/>
    <n v="2526.2373358669847"/>
    <n v="30"/>
    <m/>
    <x v="10"/>
  </r>
  <r>
    <x v="0"/>
    <n v="3104105"/>
    <n v="2441437"/>
    <n v="57098.8"/>
    <n v="6270.53999999999"/>
    <n v="5823.7658641330054"/>
    <n v="446.77413586698458"/>
    <n v="446.77413586698458"/>
    <n v="446.77413586698458"/>
    <n v="30"/>
    <m/>
    <x v="10"/>
  </r>
  <r>
    <x v="0"/>
    <n v="3104105"/>
    <n v="2441440"/>
    <n v="141578"/>
    <n v="13730.58"/>
    <n v="12633.913864133016"/>
    <n v="1096.6661358669846"/>
    <n v="1096.6661358669846"/>
    <n v="1096.6661358669846"/>
    <n v="30"/>
    <m/>
    <x v="10"/>
  </r>
  <r>
    <x v="0"/>
    <n v="3104105"/>
    <n v="2441443"/>
    <n v="55899.360000000001"/>
    <n v="6459.94"/>
    <n v="5998.3802641330149"/>
    <n v="461.55973586698462"/>
    <n v="461.55973586698462"/>
    <n v="461.55973586698462"/>
    <n v="30"/>
    <m/>
    <x v="10"/>
  </r>
  <r>
    <x v="0"/>
    <n v="3104105"/>
    <n v="2441444"/>
    <n v="23723.040000000001"/>
    <n v="2074.61"/>
    <n v="1950.8598641330154"/>
    <n v="123.75013586698459"/>
    <n v="123.75013586698459"/>
    <n v="123.75013586698459"/>
    <n v="30"/>
    <m/>
    <x v="10"/>
  </r>
  <r>
    <x v="0"/>
    <n v="3104105"/>
    <n v="2443058"/>
    <n v="252337.75"/>
    <n v="23359.37"/>
    <n v="21557.561464133014"/>
    <n v="1801.8085358669848"/>
    <n v="1801.8085358669848"/>
    <n v="1801.8085358669848"/>
    <n v="30"/>
    <m/>
    <x v="10"/>
  </r>
  <r>
    <x v="0"/>
    <n v="3104105"/>
    <n v="2443163"/>
    <n v="519138"/>
    <n v="48368.65"/>
    <n v="44572.998264133013"/>
    <n v="3795.6517358669848"/>
    <n v="3795.6517358669848"/>
    <n v="3795.6517358669848"/>
    <n v="30"/>
    <m/>
    <x v="10"/>
  </r>
  <r>
    <x v="0"/>
    <n v="3104105"/>
    <n v="2443178"/>
    <n v="489541.75"/>
    <n v="27918.46"/>
    <n v="25715.021864133014"/>
    <n v="2203.4381358669848"/>
    <n v="2203.4381358669848"/>
    <n v="2203.4381358669848"/>
    <n v="30"/>
    <m/>
    <x v="10"/>
  </r>
  <r>
    <x v="0"/>
    <n v="3104105"/>
    <n v="2443179"/>
    <n v="251412.39"/>
    <n v="28115.29"/>
    <n v="25892.055864133017"/>
    <n v="2223.2341358669846"/>
    <n v="2223.2341358669846"/>
    <n v="2223.2341358669846"/>
    <n v="30"/>
    <m/>
    <x v="10"/>
  </r>
  <r>
    <x v="0"/>
    <n v="3104105"/>
    <n v="2443184"/>
    <n v="530329.25"/>
    <n v="41545.440000000002"/>
    <n v="38282.987464133017"/>
    <n v="3262.4525358669844"/>
    <n v="3262.4525358669844"/>
    <n v="3262.4525358669844"/>
    <n v="30"/>
    <m/>
    <x v="10"/>
  </r>
  <r>
    <x v="0"/>
    <n v="3104105"/>
    <n v="2443197"/>
    <n v="231840.63"/>
    <n v="15788.11"/>
    <n v="14530.967864133016"/>
    <n v="1257.1421358669845"/>
    <n v="1257.1421358669845"/>
    <n v="1257.1421358669845"/>
    <n v="30"/>
    <m/>
    <x v="10"/>
  </r>
  <r>
    <x v="0"/>
    <n v="3104105"/>
    <n v="2443198"/>
    <n v="225436.77"/>
    <n v="19391.2"/>
    <n v="17873.587464133016"/>
    <n v="1517.6125358669847"/>
    <n v="1517.6125358669847"/>
    <n v="1517.6125358669847"/>
    <n v="30"/>
    <m/>
    <x v="10"/>
  </r>
  <r>
    <x v="0"/>
    <n v="3104105"/>
    <n v="2443201"/>
    <n v="260051.04"/>
    <n v="24995.91"/>
    <n v="23052.700664133015"/>
    <n v="1943.2093358669847"/>
    <n v="1943.2093358669847"/>
    <n v="1943.2093358669847"/>
    <n v="30"/>
    <m/>
    <x v="10"/>
  </r>
  <r>
    <x v="0"/>
    <n v="3104105"/>
    <n v="2445685"/>
    <n v="219002"/>
    <n v="24535.43"/>
    <n v="22773.476664133017"/>
    <n v="1761.9533358669846"/>
    <n v="1761.9533358669846"/>
    <n v="1761.9533358669846"/>
    <n v="30"/>
    <m/>
    <x v="10"/>
  </r>
  <r>
    <x v="0"/>
    <n v="3104105"/>
    <n v="2445937"/>
    <n v="70962.320000000007"/>
    <n v="8001.1000000000104"/>
    <n v="7391.2554641330262"/>
    <n v="609.84453586698464"/>
    <n v="609.84453586698464"/>
    <n v="609.84453586698464"/>
    <n v="30"/>
    <m/>
    <x v="10"/>
  </r>
  <r>
    <x v="0"/>
    <n v="3104105"/>
    <n v="2445938"/>
    <n v="151105.60000000001"/>
    <n v="15654.58"/>
    <n v="14489.616264133016"/>
    <n v="1164.9637358669845"/>
    <n v="1164.9637358669845"/>
    <n v="1164.9637358669845"/>
    <n v="30"/>
    <m/>
    <x v="10"/>
  </r>
  <r>
    <x v="0"/>
    <n v="3104105"/>
    <n v="2445939"/>
    <n v="87628.64"/>
    <n v="7606.54000000001"/>
    <n v="7019.2026641330249"/>
    <n v="587.33733586698463"/>
    <n v="587.33733586698463"/>
    <n v="587.33733586698463"/>
    <n v="30"/>
    <m/>
    <x v="10"/>
  </r>
  <r>
    <x v="0"/>
    <n v="3104105"/>
    <n v="2445940"/>
    <n v="222628"/>
    <n v="17804.39"/>
    <n v="16410.084664133014"/>
    <n v="1394.3053358669847"/>
    <n v="1394.3053358669847"/>
    <n v="1394.3053358669847"/>
    <n v="30"/>
    <m/>
    <x v="10"/>
  </r>
  <r>
    <x v="0"/>
    <n v="3104105"/>
    <n v="2445942"/>
    <n v="111822.39999999999"/>
    <n v="8978.66"/>
    <n v="8327.8946641330149"/>
    <n v="650.76533586698463"/>
    <n v="650.76533586698463"/>
    <n v="650.76533586698463"/>
    <n v="30"/>
    <m/>
    <x v="10"/>
  </r>
  <r>
    <x v="0"/>
    <n v="3104105"/>
    <n v="2449825"/>
    <n v="206483.6"/>
    <n v="21476.880000000001"/>
    <n v="19907.482664133015"/>
    <n v="1569.3973358669848"/>
    <n v="1569.3973358669848"/>
    <n v="1569.3973358669848"/>
    <n v="30"/>
    <m/>
    <x v="10"/>
  </r>
  <r>
    <x v="0"/>
    <n v="3104105"/>
    <n v="2449829"/>
    <n v="218258.8"/>
    <n v="23012.49"/>
    <n v="21295.731864133017"/>
    <n v="1716.7581358669847"/>
    <n v="1716.7581358669847"/>
    <n v="1716.7581358669847"/>
    <n v="30"/>
    <m/>
    <x v="10"/>
  </r>
  <r>
    <x v="0"/>
    <n v="3104105"/>
    <n v="2449973"/>
    <n v="264931"/>
    <n v="28969.62"/>
    <n v="26682.090664133015"/>
    <n v="2287.5293358669846"/>
    <n v="2287.5293358669846"/>
    <n v="2287.5293358669846"/>
    <n v="30"/>
    <m/>
    <x v="10"/>
  </r>
  <r>
    <x v="0"/>
    <n v="3104105"/>
    <n v="2449974"/>
    <n v="641500"/>
    <n v="84510"/>
    <n v="77808.134664133016"/>
    <n v="6701.8653358669844"/>
    <n v="6701.8653358669844"/>
    <n v="6701.8653358669844"/>
    <n v="30"/>
    <m/>
    <x v="10"/>
  </r>
  <r>
    <x v="0"/>
    <n v="3104105"/>
    <n v="2449975"/>
    <n v="681120"/>
    <n v="45706.65"/>
    <n v="42103.036664133018"/>
    <n v="3603.6133358669845"/>
    <n v="3603.6133358669845"/>
    <n v="3603.6133358669845"/>
    <n v="30"/>
    <m/>
    <x v="10"/>
  </r>
  <r>
    <x v="0"/>
    <n v="3104105"/>
    <n v="2451596"/>
    <n v="222394.95"/>
    <n v="22370.18"/>
    <n v="20640.760264133016"/>
    <n v="1729.4197358669846"/>
    <n v="1729.4197358669846"/>
    <n v="1729.4197358669846"/>
    <n v="30"/>
    <m/>
    <x v="10"/>
  </r>
  <r>
    <x v="0"/>
    <n v="3104105"/>
    <n v="2451597"/>
    <n v="127740.51"/>
    <n v="15344.63"/>
    <n v="14184.370264133015"/>
    <n v="1160.2597358669846"/>
    <n v="1160.2597358669846"/>
    <n v="1160.2597358669846"/>
    <n v="30"/>
    <m/>
    <x v="10"/>
  </r>
  <r>
    <x v="0"/>
    <n v="3104105"/>
    <n v="2451598"/>
    <n v="149009.49"/>
    <n v="15825.75"/>
    <n v="14633.121464133015"/>
    <n v="1192.6285358669847"/>
    <n v="1192.6285358669847"/>
    <n v="1192.6285358669847"/>
    <n v="30"/>
    <m/>
    <x v="10"/>
  </r>
  <r>
    <x v="0"/>
    <n v="3104105"/>
    <n v="2451599"/>
    <n v="217648.35"/>
    <n v="18814.97"/>
    <n v="17384.619864133016"/>
    <n v="1430.3501358669848"/>
    <n v="1430.3501358669848"/>
    <n v="1430.3501358669848"/>
    <n v="30"/>
    <m/>
    <x v="10"/>
  </r>
  <r>
    <x v="0"/>
    <n v="3104105"/>
    <n v="2451600"/>
    <n v="201162.15"/>
    <n v="20830.55"/>
    <n v="19259.671064133014"/>
    <n v="1570.8789358669844"/>
    <n v="1570.8789358669844"/>
    <n v="1570.8789358669844"/>
    <n v="30"/>
    <m/>
    <x v="10"/>
  </r>
  <r>
    <x v="0"/>
    <n v="3104105"/>
    <n v="2451601"/>
    <n v="124954.38"/>
    <n v="11297"/>
    <n v="10449.741864133015"/>
    <n v="847.25813586698462"/>
    <n v="847.25813586698462"/>
    <n v="847.25813586698462"/>
    <n v="30"/>
    <m/>
    <x v="10"/>
  </r>
  <r>
    <x v="0"/>
    <n v="3104105"/>
    <n v="2451602"/>
    <n v="128530.53"/>
    <n v="6814.63"/>
    <n v="6348.9974641330155"/>
    <n v="465.63253586698465"/>
    <n v="465.63253586698465"/>
    <n v="465.63253586698465"/>
    <n v="30"/>
    <m/>
    <x v="10"/>
  </r>
  <r>
    <x v="0"/>
    <n v="3104105"/>
    <n v="2451603"/>
    <n v="227042.73"/>
    <n v="17717.12"/>
    <n v="16367.482664133015"/>
    <n v="1349.6373358669848"/>
    <n v="1349.6373358669848"/>
    <n v="1349.6373358669848"/>
    <n v="30"/>
    <m/>
    <x v="10"/>
  </r>
  <r>
    <x v="0"/>
    <n v="3104105"/>
    <n v="2452148"/>
    <n v="107265.5"/>
    <n v="8415.58"/>
    <n v="7799.9066641330155"/>
    <n v="615.67333586698464"/>
    <n v="615.67333586698464"/>
    <n v="615.67333586698464"/>
    <n v="30"/>
    <m/>
    <x v="10"/>
  </r>
  <r>
    <x v="0"/>
    <n v="3104105"/>
    <n v="2452465"/>
    <n v="256572"/>
    <n v="22697.82"/>
    <n v="20933.734664133015"/>
    <n v="1764.0853358669847"/>
    <n v="1764.0853358669847"/>
    <n v="1764.0853358669847"/>
    <n v="30"/>
    <m/>
    <x v="10"/>
  </r>
  <r>
    <x v="0"/>
    <n v="3104105"/>
    <n v="2452466"/>
    <n v="156925.20000000001"/>
    <n v="20273.82"/>
    <n v="18704.922664133013"/>
    <n v="1568.8973358669848"/>
    <n v="1568.8973358669848"/>
    <n v="1568.8973358669848"/>
    <n v="30"/>
    <m/>
    <x v="10"/>
  </r>
  <r>
    <x v="0"/>
    <n v="3104105"/>
    <n v="2452467"/>
    <n v="222626.25"/>
    <n v="20931.93"/>
    <n v="19274.496664133017"/>
    <n v="1657.4333358669846"/>
    <n v="1657.4333358669846"/>
    <n v="1657.4333358669846"/>
    <n v="30"/>
    <m/>
    <x v="10"/>
  </r>
  <r>
    <x v="0"/>
    <n v="3104105"/>
    <n v="2453907"/>
    <n v="282917.34000000003"/>
    <n v="25120.76"/>
    <n v="23195.901864133015"/>
    <n v="1924.8581358669846"/>
    <n v="1924.8581358669846"/>
    <n v="1924.8581358669846"/>
    <n v="30"/>
    <m/>
    <x v="10"/>
  </r>
  <r>
    <x v="0"/>
    <n v="3104105"/>
    <n v="2453908"/>
    <n v="242730"/>
    <n v="19055.099999999999"/>
    <n v="17598.685064133013"/>
    <n v="1456.4149358669845"/>
    <n v="1456.4149358669845"/>
    <n v="1456.4149358669845"/>
    <n v="30"/>
    <m/>
    <x v="10"/>
  </r>
  <r>
    <x v="0"/>
    <n v="3104105"/>
    <n v="2453909"/>
    <n v="292013.46000000002"/>
    <n v="27205.99"/>
    <n v="25084.355064133018"/>
    <n v="2121.6349358669845"/>
    <n v="2121.6349358669845"/>
    <n v="2121.6349358669845"/>
    <n v="30"/>
    <m/>
    <x v="10"/>
  </r>
  <r>
    <x v="0"/>
    <n v="3104105"/>
    <n v="2453910"/>
    <n v="292040.01"/>
    <n v="25469.83"/>
    <n v="23486.852664133017"/>
    <n v="1982.9773358669847"/>
    <n v="1982.9773358669847"/>
    <n v="1982.9773358669847"/>
    <n v="30"/>
    <m/>
    <x v="10"/>
  </r>
  <r>
    <x v="0"/>
    <n v="3104105"/>
    <n v="2453911"/>
    <n v="241285.41"/>
    <n v="19780.22"/>
    <n v="18238.750664133018"/>
    <n v="1541.4693358669847"/>
    <n v="1541.4693358669847"/>
    <n v="1541.4693358669847"/>
    <n v="30"/>
    <m/>
    <x v="10"/>
  </r>
  <r>
    <x v="0"/>
    <n v="3104105"/>
    <n v="2453912"/>
    <n v="292653.99"/>
    <n v="22634.14"/>
    <n v="20878.647464133013"/>
    <n v="1755.4925358669846"/>
    <n v="1755.4925358669846"/>
    <n v="1755.4925358669846"/>
    <n v="30"/>
    <m/>
    <x v="10"/>
  </r>
  <r>
    <x v="0"/>
    <n v="3104105"/>
    <n v="2453913"/>
    <n v="250965.09"/>
    <n v="26745.8"/>
    <n v="24657.769864133013"/>
    <n v="2088.0301358669849"/>
    <n v="2088.0301358669849"/>
    <n v="2088.0301358669849"/>
    <n v="30"/>
    <m/>
    <x v="10"/>
  </r>
  <r>
    <x v="0"/>
    <n v="3104105"/>
    <n v="2453917"/>
    <n v="392260.5"/>
    <n v="18216.77"/>
    <n v="16786.408664133014"/>
    <n v="1430.3613358669847"/>
    <n v="1430.3613358669847"/>
    <n v="1430.3613358669847"/>
    <n v="30"/>
    <m/>
    <x v="10"/>
  </r>
  <r>
    <x v="0"/>
    <n v="3104105"/>
    <n v="2453918"/>
    <n v="379415.61"/>
    <n v="38221.230000000003"/>
    <n v="35215.524664133016"/>
    <n v="3005.7053358669846"/>
    <n v="3005.7053358669846"/>
    <n v="3005.7053358669846"/>
    <n v="30"/>
    <m/>
    <x v="10"/>
  </r>
  <r>
    <x v="0"/>
    <n v="3104105"/>
    <n v="2453919"/>
    <n v="384609.96"/>
    <n v="28563.94"/>
    <n v="26316.788264133014"/>
    <n v="2247.1517358669848"/>
    <n v="2247.1517358669848"/>
    <n v="2247.1517358669848"/>
    <n v="30"/>
    <m/>
    <x v="10"/>
  </r>
  <r>
    <x v="0"/>
    <n v="3104105"/>
    <n v="2453920"/>
    <n v="367734.6"/>
    <n v="23605.01"/>
    <n v="21741.837464133016"/>
    <n v="1863.1725358669846"/>
    <n v="1863.1725358669846"/>
    <n v="1863.1725358669846"/>
    <n v="30"/>
    <m/>
    <x v="10"/>
  </r>
  <r>
    <x v="0"/>
    <n v="3104105"/>
    <n v="2453921"/>
    <n v="375229.08"/>
    <n v="32604.71"/>
    <n v="30030.519864133013"/>
    <n v="2574.1901358669843"/>
    <n v="2574.1901358669843"/>
    <n v="2574.1901358669843"/>
    <n v="30"/>
    <m/>
    <x v="10"/>
  </r>
  <r>
    <x v="0"/>
    <n v="3104105"/>
    <n v="2453922"/>
    <n v="351864.99"/>
    <n v="26659.14"/>
    <n v="24548.058664133016"/>
    <n v="2111.0813358669848"/>
    <n v="2111.0813358669848"/>
    <n v="2111.0813358669848"/>
    <n v="30"/>
    <m/>
    <x v="10"/>
  </r>
  <r>
    <x v="0"/>
    <n v="3104105"/>
    <n v="2453923"/>
    <n v="441182.16"/>
    <n v="28998.15"/>
    <n v="26716.288664133019"/>
    <n v="2281.8613358669845"/>
    <n v="2281.8613358669845"/>
    <n v="2281.8613358669845"/>
    <n v="30"/>
    <m/>
    <x v="10"/>
  </r>
  <r>
    <x v="0"/>
    <n v="3104105"/>
    <n v="2453924"/>
    <n v="413076.69"/>
    <n v="36846.79"/>
    <n v="33970.063864133015"/>
    <n v="2876.7261358669848"/>
    <n v="2876.7261358669848"/>
    <n v="2876.7261358669848"/>
    <n v="30"/>
    <m/>
    <x v="10"/>
  </r>
  <r>
    <x v="0"/>
    <n v="3104105"/>
    <n v="2455554"/>
    <n v="267414"/>
    <n v="20735.32"/>
    <n v="19135.466664133015"/>
    <n v="1599.8533358669845"/>
    <n v="1599.8533358669845"/>
    <n v="1599.8533358669845"/>
    <n v="30"/>
    <m/>
    <x v="10"/>
  </r>
  <r>
    <x v="0"/>
    <n v="3104105"/>
    <n v="2458128"/>
    <n v="156194.72"/>
    <n v="17152.14"/>
    <n v="15843.333864133016"/>
    <n v="1308.8061358669845"/>
    <n v="1308.8061358669845"/>
    <n v="1308.8061358669845"/>
    <n v="30"/>
    <m/>
    <x v="10"/>
  </r>
  <r>
    <x v="0"/>
    <n v="3104105"/>
    <n v="2459317"/>
    <n v="21430.44"/>
    <n v="2168.39"/>
    <n v="2223.7246641330153"/>
    <n v="-55.334664133015409"/>
    <n v="-55.334664133015409"/>
    <n v="-55.334664133015409"/>
    <n v="3"/>
    <m/>
    <x v="10"/>
  </r>
  <r>
    <x v="0"/>
    <n v="3104105"/>
    <n v="2459318"/>
    <n v="21977.64"/>
    <n v="1295.4100000000001"/>
    <n v="1162.3934641330154"/>
    <n v="133.01653586698461"/>
    <n v="133.01653586698461"/>
    <n v="133.01653586698461"/>
    <n v="3"/>
    <m/>
    <x v="10"/>
  </r>
  <r>
    <x v="0"/>
    <n v="3104105"/>
    <n v="2459319"/>
    <n v="21897.54"/>
    <n v="649.44000000000096"/>
    <n v="560.98346413301635"/>
    <n v="88.456535866984595"/>
    <n v="88.456535866984595"/>
    <n v="88.456535866984595"/>
    <n v="3"/>
    <m/>
    <x v="10"/>
  </r>
  <r>
    <x v="0"/>
    <n v="3104105"/>
    <n v="2459320"/>
    <n v="29636.46"/>
    <n v="2036.34"/>
    <n v="1922.3242641330153"/>
    <n v="114.0157358669846"/>
    <n v="114.0157358669846"/>
    <n v="114.0157358669846"/>
    <n v="3"/>
    <m/>
    <x v="10"/>
  </r>
  <r>
    <x v="0"/>
    <n v="3104105"/>
    <n v="2459321"/>
    <n v="20534.04"/>
    <n v="242.509999999999"/>
    <n v="277.35506413301442"/>
    <n v="-34.845064133015413"/>
    <n v="-34.845064133015413"/>
    <n v="-34.845064133015413"/>
    <n v="3"/>
    <m/>
    <x v="10"/>
  </r>
  <r>
    <x v="0"/>
    <n v="3104105"/>
    <n v="2459322"/>
    <n v="32370.12"/>
    <n v="2291.87"/>
    <n v="2155.4230641330155"/>
    <n v="136.44693586698457"/>
    <n v="136.44693586698457"/>
    <n v="136.44693586698457"/>
    <n v="3"/>
    <m/>
    <x v="10"/>
  </r>
  <r>
    <x v="0"/>
    <n v="3104105"/>
    <n v="2470763"/>
    <n v="256883.20000000001"/>
    <n v="20761.900000000001"/>
    <n v="19227.679464133016"/>
    <n v="1534.2205358669846"/>
    <n v="1534.2205358669846"/>
    <n v="1534.2205358669846"/>
    <n v="30"/>
    <m/>
    <x v="10"/>
  </r>
  <r>
    <x v="0"/>
    <n v="3104105"/>
    <n v="2470942"/>
    <n v="295106"/>
    <n v="27154.87"/>
    <n v="25011.840664133015"/>
    <n v="2143.0293358669846"/>
    <n v="2143.0293358669846"/>
    <n v="2143.0293358669846"/>
    <n v="30"/>
    <m/>
    <x v="10"/>
  </r>
  <r>
    <x v="0"/>
    <n v="3104105"/>
    <n v="2470945"/>
    <n v="287102.90000000002"/>
    <n v="29480.720000000001"/>
    <n v="27215.048264133016"/>
    <n v="2265.6717358669848"/>
    <n v="2265.6717358669848"/>
    <n v="2265.6717358669848"/>
    <n v="30"/>
    <m/>
    <x v="10"/>
  </r>
  <r>
    <x v="0"/>
    <n v="3104105"/>
    <n v="2475710"/>
    <n v="295411.20000000001"/>
    <n v="16019.7"/>
    <n v="14767.690664133017"/>
    <n v="1252.0093358669847"/>
    <n v="1252.0093358669847"/>
    <n v="1252.0093358669847"/>
    <n v="30"/>
    <m/>
    <x v="10"/>
  </r>
  <r>
    <x v="0"/>
    <n v="3104105"/>
    <n v="2480552"/>
    <n v="293426.7"/>
    <n v="26634.91"/>
    <n v="24561.814264133016"/>
    <n v="2073.0957358669848"/>
    <n v="2073.0957358669848"/>
    <n v="2073.0957358669848"/>
    <n v="30"/>
    <m/>
    <x v="10"/>
  </r>
  <r>
    <x v="0"/>
    <n v="3104105"/>
    <n v="2480553"/>
    <n v="254927.4"/>
    <n v="24929.37"/>
    <n v="23029.554264133014"/>
    <n v="1899.8157358669848"/>
    <n v="1899.8157358669848"/>
    <n v="1899.8157358669848"/>
    <n v="30"/>
    <m/>
    <x v="10"/>
  </r>
  <r>
    <x v="0"/>
    <n v="3104105"/>
    <n v="2480554"/>
    <n v="292273.8"/>
    <n v="33691.15"/>
    <n v="31075.208664133017"/>
    <n v="2615.9413358669844"/>
    <n v="2615.9413358669844"/>
    <n v="2615.9413358669844"/>
    <n v="30"/>
    <m/>
    <x v="10"/>
  </r>
  <r>
    <x v="0"/>
    <n v="3104105"/>
    <n v="2492823"/>
    <n v="182055.28"/>
    <n v="6367.5199999999904"/>
    <n v="5912.3978641330059"/>
    <n v="455.12213586698459"/>
    <n v="455.12213586698459"/>
    <n v="455.12213586698459"/>
    <n v="30"/>
    <m/>
    <x v="10"/>
  </r>
  <r>
    <x v="0"/>
    <n v="3104105"/>
    <n v="2492824"/>
    <n v="227613"/>
    <n v="23158.92"/>
    <n v="21384.037864133013"/>
    <n v="1774.8821358669845"/>
    <n v="1774.8821358669845"/>
    <n v="1774.8821358669845"/>
    <n v="30"/>
    <m/>
    <x v="10"/>
  </r>
  <r>
    <x v="0"/>
    <n v="3104105"/>
    <n v="2492825"/>
    <n v="116972.8"/>
    <n v="15550.31"/>
    <n v="14362.999064133015"/>
    <n v="1187.3109358669847"/>
    <n v="1187.3109358669847"/>
    <n v="1187.3109358669847"/>
    <n v="30"/>
    <m/>
    <x v="10"/>
  </r>
  <r>
    <x v="0"/>
    <n v="3104105"/>
    <n v="2492826"/>
    <n v="154913.44"/>
    <n v="11741.08"/>
    <n v="10866.917064133015"/>
    <n v="874.16293586698453"/>
    <n v="874.16293586698453"/>
    <n v="874.16293586698453"/>
    <n v="30"/>
    <m/>
    <x v="10"/>
  </r>
  <r>
    <x v="0"/>
    <n v="3104105"/>
    <n v="2497490"/>
    <n v="196405.44"/>
    <n v="18551.54"/>
    <n v="17170.763464133015"/>
    <n v="1380.7765358669847"/>
    <n v="1380.7765358669847"/>
    <n v="1380.7765358669847"/>
    <n v="30"/>
    <m/>
    <x v="10"/>
  </r>
  <r>
    <x v="0"/>
    <n v="3104105"/>
    <n v="2497491"/>
    <n v="135278.88"/>
    <n v="24835.33"/>
    <n v="22940.029464133018"/>
    <n v="1895.3005358669845"/>
    <n v="1895.3005358669845"/>
    <n v="1895.3005358669845"/>
    <n v="30"/>
    <m/>
    <x v="10"/>
  </r>
  <r>
    <x v="0"/>
    <n v="3104105"/>
    <n v="2497492"/>
    <n v="75941.5"/>
    <n v="6183.83"/>
    <n v="5750.1158641330157"/>
    <n v="433.71413586698458"/>
    <n v="433.71413586698458"/>
    <n v="433.71413586698458"/>
    <n v="30"/>
    <m/>
    <x v="10"/>
  </r>
  <r>
    <x v="0"/>
    <n v="3104105"/>
    <n v="2497493"/>
    <n v="81868.5"/>
    <n v="12179.8"/>
    <n v="11259.493864133015"/>
    <n v="920.30613586698462"/>
    <n v="920.30613586698462"/>
    <n v="920.30613586698462"/>
    <n v="30"/>
    <m/>
    <x v="10"/>
  </r>
  <r>
    <x v="0"/>
    <n v="3104105"/>
    <n v="2497494"/>
    <n v="69955"/>
    <n v="4998.3999999999896"/>
    <n v="4665.1746641330046"/>
    <n v="333.22533586698461"/>
    <n v="333.22533586698461"/>
    <n v="333.22533586698461"/>
    <n v="30"/>
    <m/>
    <x v="10"/>
  </r>
  <r>
    <x v="0"/>
    <n v="3104105"/>
    <n v="2497495"/>
    <n v="90009.5"/>
    <n v="12145.19"/>
    <n v="11223.273464133015"/>
    <n v="921.91653586698453"/>
    <n v="921.91653586698453"/>
    <n v="921.91653586698453"/>
    <n v="30"/>
    <m/>
    <x v="10"/>
  </r>
  <r>
    <x v="0"/>
    <n v="3104105"/>
    <n v="2501919"/>
    <n v="194369.6"/>
    <n v="17983.849999999999"/>
    <n v="16615.716664133015"/>
    <n v="1368.1333358669845"/>
    <n v="1368.1333358669845"/>
    <n v="1368.1333358669845"/>
    <n v="30"/>
    <m/>
    <x v="10"/>
  </r>
  <r>
    <x v="0"/>
    <n v="3104105"/>
    <n v="2507364"/>
    <n v="169657.60000000001"/>
    <n v="17058.32"/>
    <n v="15777.834664133015"/>
    <n v="1280.4853358669845"/>
    <n v="1280.4853358669845"/>
    <n v="1280.4853358669845"/>
    <n v="30"/>
    <m/>
    <x v="10"/>
  </r>
  <r>
    <x v="0"/>
    <n v="3104105"/>
    <n v="2507365"/>
    <n v="310901.5"/>
    <n v="27149.81"/>
    <n v="25091.368664133017"/>
    <n v="2058.4413358669849"/>
    <n v="2058.4413358669849"/>
    <n v="2058.4413358669849"/>
    <n v="30"/>
    <m/>
    <x v="10"/>
  </r>
  <r>
    <x v="0"/>
    <n v="3104105"/>
    <n v="2507366"/>
    <n v="93968"/>
    <n v="7645.2"/>
    <n v="7137.741864133015"/>
    <n v="507.45813586698466"/>
    <n v="507.45813586698466"/>
    <n v="507.45813586698466"/>
    <n v="30"/>
    <m/>
    <x v="10"/>
  </r>
  <r>
    <x v="0"/>
    <n v="3104105"/>
    <n v="2507367"/>
    <n v="264053"/>
    <n v="22132.04"/>
    <n v="20429.230664133018"/>
    <n v="1702.8093358669846"/>
    <n v="1702.8093358669846"/>
    <n v="1702.8093358669846"/>
    <n v="30"/>
    <m/>
    <x v="10"/>
  </r>
  <r>
    <x v="0"/>
    <n v="3104105"/>
    <n v="2507368"/>
    <n v="96441"/>
    <n v="9061.2199999999993"/>
    <n v="8391.6570641330145"/>
    <n v="669.56293586698462"/>
    <n v="669.56293586698462"/>
    <n v="669.56293586698462"/>
    <n v="30"/>
    <m/>
    <x v="10"/>
  </r>
  <r>
    <x v="0"/>
    <n v="3104105"/>
    <n v="2507369"/>
    <n v="104021.4"/>
    <n v="12656.42"/>
    <n v="11701.933864133016"/>
    <n v="954.48613586698468"/>
    <n v="954.48613586698468"/>
    <n v="954.48613586698468"/>
    <n v="30"/>
    <m/>
    <x v="10"/>
  </r>
  <r>
    <x v="0"/>
    <n v="3104105"/>
    <n v="2507370"/>
    <n v="106496.4"/>
    <n v="12144.36"/>
    <n v="11352.045064133015"/>
    <n v="792.31493586698468"/>
    <n v="792.31493586698468"/>
    <n v="792.31493586698468"/>
    <n v="30"/>
    <m/>
    <x v="10"/>
  </r>
  <r>
    <x v="0"/>
    <n v="3104105"/>
    <n v="2507371"/>
    <n v="427620"/>
    <n v="24269.96"/>
    <n v="22343.078664133016"/>
    <n v="1926.8813358669847"/>
    <n v="1926.8813358669847"/>
    <n v="1926.8813358669847"/>
    <n v="30"/>
    <m/>
    <x v="10"/>
  </r>
  <r>
    <x v="0"/>
    <n v="3104105"/>
    <n v="2507372"/>
    <n v="611440"/>
    <n v="42157.86"/>
    <n v="38793.594664133016"/>
    <n v="3364.2653358669845"/>
    <n v="3364.2653358669845"/>
    <n v="3364.2653358669845"/>
    <n v="30"/>
    <m/>
    <x v="10"/>
  </r>
  <r>
    <x v="0"/>
    <n v="3104105"/>
    <n v="2507373"/>
    <n v="471275"/>
    <n v="41995.92"/>
    <n v="38669.254664133012"/>
    <n v="3326.6653358669846"/>
    <n v="3326.6653358669846"/>
    <n v="3326.6653358669846"/>
    <n v="30"/>
    <m/>
    <x v="10"/>
  </r>
  <r>
    <x v="0"/>
    <n v="3104105"/>
    <n v="2507374"/>
    <n v="167725.5"/>
    <n v="19999.93"/>
    <n v="18482.956664133017"/>
    <n v="1516.9733358669846"/>
    <n v="1516.9733358669846"/>
    <n v="1516.9733358669846"/>
    <n v="30"/>
    <m/>
    <x v="10"/>
  </r>
  <r>
    <x v="0"/>
    <n v="3104105"/>
    <n v="2507375"/>
    <n v="253424.4"/>
    <n v="20163.189999999999"/>
    <n v="18661.206264133012"/>
    <n v="1501.9837358669847"/>
    <n v="1501.9837358669847"/>
    <n v="1501.9837358669847"/>
    <n v="30"/>
    <m/>
    <x v="10"/>
  </r>
  <r>
    <x v="0"/>
    <n v="3104105"/>
    <n v="2507376"/>
    <n v="287386"/>
    <n v="36574.550000000003"/>
    <n v="33709.186264133015"/>
    <n v="2865.3637358669848"/>
    <n v="2865.3637358669848"/>
    <n v="2865.3637358669848"/>
    <n v="30"/>
    <m/>
    <x v="10"/>
  </r>
  <r>
    <x v="0"/>
    <n v="3104105"/>
    <n v="2507377"/>
    <n v="341544.8"/>
    <n v="36386.5"/>
    <n v="33508.125864133013"/>
    <n v="2878.3741358669845"/>
    <n v="2878.3741358669845"/>
    <n v="2878.3741358669845"/>
    <n v="30"/>
    <m/>
    <x v="10"/>
  </r>
  <r>
    <x v="0"/>
    <n v="3104105"/>
    <n v="2507378"/>
    <n v="366740.75"/>
    <n v="17976.86"/>
    <n v="16597.522664133015"/>
    <n v="1379.3373358669849"/>
    <n v="1379.3373358669849"/>
    <n v="1379.3373358669849"/>
    <n v="30"/>
    <m/>
    <x v="10"/>
  </r>
  <r>
    <x v="0"/>
    <n v="3104105"/>
    <n v="2507379"/>
    <n v="303274.25"/>
    <n v="31929.66"/>
    <n v="31555.958664133017"/>
    <n v="373.70133586698461"/>
    <n v="373.70133586698461"/>
    <n v="373.70133586698461"/>
    <n v="30"/>
    <m/>
    <x v="10"/>
  </r>
  <r>
    <x v="0"/>
    <n v="3104105"/>
    <n v="2507380"/>
    <n v="297756.5"/>
    <n v="28724.02"/>
    <n v="26495.882664133016"/>
    <n v="2228.1373358669848"/>
    <n v="2228.1373358669848"/>
    <n v="2228.1373358669848"/>
    <n v="30"/>
    <m/>
    <x v="10"/>
  </r>
  <r>
    <x v="0"/>
    <n v="3104105"/>
    <n v="2507381"/>
    <n v="382356.5"/>
    <n v="38315.480000000003"/>
    <n v="35295.894664133019"/>
    <n v="3019.5853358669847"/>
    <n v="3019.5853358669847"/>
    <n v="3019.5853358669847"/>
    <n v="30"/>
    <m/>
    <x v="10"/>
  </r>
  <r>
    <x v="0"/>
    <n v="3104105"/>
    <n v="2515020"/>
    <n v="234624.5"/>
    <n v="13515.11"/>
    <n v="12455.724664133017"/>
    <n v="1059.3853358669846"/>
    <n v="1059.3853358669846"/>
    <n v="1059.3853358669846"/>
    <n v="30"/>
    <m/>
    <x v="10"/>
  </r>
  <r>
    <x v="0"/>
    <n v="3104105"/>
    <n v="2515021"/>
    <n v="201538.5"/>
    <n v="7061.9200000000101"/>
    <n v="6548.7258641330254"/>
    <n v="513.19413586698454"/>
    <n v="513.19413586698454"/>
    <n v="513.19413586698454"/>
    <n v="30"/>
    <m/>
    <x v="10"/>
  </r>
  <r>
    <x v="0"/>
    <n v="3104105"/>
    <n v="2515022"/>
    <n v="265533.75"/>
    <n v="25373.85"/>
    <n v="23388.908664133014"/>
    <n v="1984.9413358669847"/>
    <n v="1984.9413358669847"/>
    <n v="1984.9413358669847"/>
    <n v="30"/>
    <m/>
    <x v="10"/>
  </r>
  <r>
    <x v="0"/>
    <n v="3104105"/>
    <n v="2515075"/>
    <n v="246515.5"/>
    <n v="18184.96"/>
    <n v="16760.118664133013"/>
    <n v="1424.8413358669848"/>
    <n v="1424.8413358669848"/>
    <n v="1424.8413358669848"/>
    <n v="30"/>
    <m/>
    <x v="10"/>
  </r>
  <r>
    <x v="0"/>
    <n v="3104105"/>
    <n v="2515076"/>
    <n v="253291.25"/>
    <n v="29002.41"/>
    <n v="26688.484664133015"/>
    <n v="2313.9253358669848"/>
    <n v="2313.9253358669848"/>
    <n v="2313.9253358669848"/>
    <n v="30"/>
    <m/>
    <x v="10"/>
  </r>
  <r>
    <x v="0"/>
    <n v="3104105"/>
    <n v="2515077"/>
    <n v="262976.5"/>
    <n v="19503.64"/>
    <n v="17965.814664133013"/>
    <n v="1537.8253358669847"/>
    <n v="1537.8253358669847"/>
    <n v="1537.8253358669847"/>
    <n v="30"/>
    <m/>
    <x v="10"/>
  </r>
  <r>
    <x v="0"/>
    <n v="3104105"/>
    <n v="2523191"/>
    <n v="126776.32000000001"/>
    <n v="-9001.6500000000106"/>
    <n v="-8218.1777358669951"/>
    <n v="-783.4722641330153"/>
    <n v="-783.4722641330153"/>
    <n v="-783.4722641330153"/>
    <n v="30"/>
    <m/>
    <x v="10"/>
  </r>
  <r>
    <x v="0"/>
    <n v="3104105"/>
    <n v="2523192"/>
    <n v="84820"/>
    <n v="11408.28"/>
    <n v="10552.552264133015"/>
    <n v="855.72773586698463"/>
    <n v="855.72773586698463"/>
    <n v="855.72773586698463"/>
    <n v="30"/>
    <m/>
    <x v="10"/>
  </r>
  <r>
    <x v="0"/>
    <n v="3104105"/>
    <n v="2523193"/>
    <n v="78087.600000000006"/>
    <n v="10370.34"/>
    <n v="9600.9090641330149"/>
    <n v="769.43093586698456"/>
    <n v="769.43093586698456"/>
    <n v="769.43093586698456"/>
    <n v="30"/>
    <m/>
    <x v="10"/>
  </r>
  <r>
    <x v="0"/>
    <n v="3104105"/>
    <n v="2523194"/>
    <n v="115519.36"/>
    <n v="17126.240000000002"/>
    <n v="15811.505064133016"/>
    <n v="1314.7349358669846"/>
    <n v="1314.7349358669846"/>
    <n v="1314.7349358669846"/>
    <n v="30"/>
    <m/>
    <x v="10"/>
  </r>
  <r>
    <x v="0"/>
    <n v="3104105"/>
    <n v="2523195"/>
    <n v="54740.5"/>
    <n v="9152.7800000000097"/>
    <n v="8479.122664133025"/>
    <n v="673.65733586698457"/>
    <n v="673.65733586698457"/>
    <n v="673.65733586698457"/>
    <n v="30"/>
    <m/>
    <x v="10"/>
  </r>
  <r>
    <x v="0"/>
    <n v="3104105"/>
    <n v="2523196"/>
    <n v="96442"/>
    <n v="8465.9900000000107"/>
    <n v="7741.2606641330258"/>
    <n v="724.72933586698457"/>
    <n v="724.72933586698457"/>
    <n v="724.72933586698457"/>
    <n v="30"/>
    <m/>
    <x v="10"/>
  </r>
  <r>
    <x v="0"/>
    <n v="3104105"/>
    <n v="2523197"/>
    <n v="136553"/>
    <n v="7146.48"/>
    <n v="6398.7586641330145"/>
    <n v="747.72133586698465"/>
    <n v="747.72133586698465"/>
    <n v="747.72133586698465"/>
    <n v="30"/>
    <m/>
    <x v="10"/>
  </r>
  <r>
    <x v="0"/>
    <n v="3104105"/>
    <n v="2547242"/>
    <n v="310098.40000000002"/>
    <n v="25952.33"/>
    <n v="23876.868664133017"/>
    <n v="2075.4613358669849"/>
    <n v="2075.4613358669849"/>
    <n v="2075.4613358669849"/>
    <n v="30"/>
    <m/>
    <x v="10"/>
  </r>
  <r>
    <x v="0"/>
    <n v="3104105"/>
    <n v="2549422"/>
    <n v="337504.25"/>
    <n v="17622.189999999999"/>
    <n v="16035.789464133015"/>
    <n v="1586.4005358669845"/>
    <n v="1586.4005358669845"/>
    <n v="1586.4005358669845"/>
    <n v="30"/>
    <m/>
    <x v="10"/>
  </r>
  <r>
    <x v="0"/>
    <n v="3104105"/>
    <n v="2549423"/>
    <n v="319613.5"/>
    <n v="32911.68"/>
    <n v="30252.902664133017"/>
    <n v="2658.7773358669847"/>
    <n v="2658.7773358669847"/>
    <n v="2658.7773358669847"/>
    <n v="30"/>
    <m/>
    <x v="10"/>
  </r>
  <r>
    <x v="0"/>
    <n v="3104105"/>
    <n v="2549424"/>
    <n v="250394"/>
    <n v="30601.17"/>
    <n v="28095.424664133014"/>
    <n v="2505.7453358669845"/>
    <n v="2505.7453358669845"/>
    <n v="2505.7453358669845"/>
    <n v="30"/>
    <m/>
    <x v="10"/>
  </r>
  <r>
    <x v="0"/>
    <n v="3104105"/>
    <n v="2549425"/>
    <n v="335918.25"/>
    <n v="35189.449999999997"/>
    <n v="32365.456664133013"/>
    <n v="2823.9933358669846"/>
    <n v="2823.9933358669846"/>
    <n v="2823.9933358669846"/>
    <n v="30"/>
    <m/>
    <x v="10"/>
  </r>
  <r>
    <x v="0"/>
    <n v="3104105"/>
    <n v="2549426"/>
    <n v="278093.25"/>
    <n v="25329.46"/>
    <n v="23137.642664133014"/>
    <n v="2191.8173358669846"/>
    <n v="2191.8173358669846"/>
    <n v="2191.8173358669846"/>
    <n v="30"/>
    <m/>
    <x v="10"/>
  </r>
  <r>
    <x v="0"/>
    <n v="3104105"/>
    <n v="2549427"/>
    <n v="239595.8"/>
    <n v="31395.200000000001"/>
    <n v="28919.301864133016"/>
    <n v="2475.8981358669848"/>
    <n v="2475.8981358669848"/>
    <n v="2475.8981358669848"/>
    <n v="30"/>
    <m/>
    <x v="10"/>
  </r>
  <r>
    <x v="0"/>
    <n v="3104105"/>
    <n v="2549428"/>
    <n v="415543.5"/>
    <n v="30842.720000000001"/>
    <n v="28326.554664133015"/>
    <n v="2516.1653358669846"/>
    <n v="2516.1653358669846"/>
    <n v="2516.1653358669846"/>
    <n v="30"/>
    <m/>
    <x v="10"/>
  </r>
  <r>
    <x v="0"/>
    <n v="3104105"/>
    <n v="2549429"/>
    <n v="297611"/>
    <n v="17516.5"/>
    <n v="16152.800264133015"/>
    <n v="1363.6997358669846"/>
    <n v="1363.6997358669846"/>
    <n v="1363.6997358669846"/>
    <n v="30"/>
    <m/>
    <x v="10"/>
  </r>
  <r>
    <x v="0"/>
    <n v="3104105"/>
    <n v="2549430"/>
    <n v="388928"/>
    <n v="27635.87"/>
    <n v="25376.336664133014"/>
    <n v="2259.5333358669845"/>
    <n v="2259.5333358669845"/>
    <n v="2259.5333358669845"/>
    <n v="30"/>
    <m/>
    <x v="10"/>
  </r>
  <r>
    <x v="0"/>
    <n v="3104105"/>
    <n v="2549431"/>
    <n v="235975"/>
    <n v="21548.400000000001"/>
    <n v="19787.115464133018"/>
    <n v="1761.2845358669847"/>
    <n v="1761.2845358669847"/>
    <n v="1761.2845358669847"/>
    <n v="30"/>
    <m/>
    <x v="10"/>
  </r>
  <r>
    <x v="0"/>
    <n v="3104105"/>
    <n v="2565187"/>
    <n v="184734"/>
    <n v="17018.53"/>
    <n v="15685.464664133015"/>
    <n v="1333.0653358669847"/>
    <n v="1333.0653358669847"/>
    <n v="1333.0653358669847"/>
    <n v="30"/>
    <m/>
    <x v="10"/>
  </r>
  <r>
    <x v="0"/>
    <n v="3104105"/>
    <n v="2565188"/>
    <n v="195576"/>
    <n v="211"/>
    <n v="249.4546641330154"/>
    <n v="-38.454664133015413"/>
    <n v="-38.454664133015413"/>
    <n v="-38.454664133015413"/>
    <n v="30"/>
    <m/>
    <x v="10"/>
  </r>
  <r>
    <x v="0"/>
    <n v="3104105"/>
    <n v="2565189"/>
    <n v="190322.75"/>
    <n v="17968.39"/>
    <n v="16579.304664133015"/>
    <n v="1389.0853358669847"/>
    <n v="1389.0853358669847"/>
    <n v="1389.0853358669847"/>
    <n v="30"/>
    <m/>
    <x v="10"/>
  </r>
  <r>
    <x v="0"/>
    <n v="3104105"/>
    <n v="2568980"/>
    <n v="245730"/>
    <n v="18777.71"/>
    <n v="17272.644664133015"/>
    <n v="1505.0653358669847"/>
    <n v="1505.0653358669847"/>
    <n v="1505.0653358669847"/>
    <n v="30"/>
    <m/>
    <x v="10"/>
  </r>
  <r>
    <x v="0"/>
    <n v="3104105"/>
    <n v="2568983"/>
    <n v="307415"/>
    <n v="24308.04"/>
    <n v="22432.465864133017"/>
    <n v="1875.5741358669848"/>
    <n v="1875.5741358669848"/>
    <n v="1875.5741358669848"/>
    <n v="30"/>
    <m/>
    <x v="10"/>
  </r>
  <r>
    <x v="0"/>
    <n v="3104105"/>
    <n v="2568985"/>
    <n v="218891"/>
    <n v="3449.25"/>
    <n v="3235.7046641330153"/>
    <n v="213.5453358669846"/>
    <n v="213.5453358669846"/>
    <n v="213.5453358669846"/>
    <n v="30"/>
    <m/>
    <x v="10"/>
  </r>
  <r>
    <x v="0"/>
    <n v="3104105"/>
    <n v="2568986"/>
    <n v="180149"/>
    <n v="11153"/>
    <n v="10316.094664133016"/>
    <n v="836.90533586698461"/>
    <n v="836.90533586698461"/>
    <n v="836.90533586698461"/>
    <n v="30"/>
    <m/>
    <x v="10"/>
  </r>
  <r>
    <x v="0"/>
    <n v="3104105"/>
    <n v="2568988"/>
    <n v="139910.75"/>
    <n v="1694.45"/>
    <n v="1590.9046641330156"/>
    <n v="103.54533586698459"/>
    <n v="103.54533586698459"/>
    <n v="103.54533586698459"/>
    <n v="30"/>
    <m/>
    <x v="10"/>
  </r>
  <r>
    <x v="0"/>
    <n v="3104105"/>
    <n v="2580436"/>
    <n v="238991.28"/>
    <n v="19079.95"/>
    <n v="17608.888664133017"/>
    <n v="1471.0613358669848"/>
    <n v="1471.0613358669848"/>
    <n v="1471.0613358669848"/>
    <n v="30"/>
    <m/>
    <x v="10"/>
  </r>
  <r>
    <x v="0"/>
    <n v="3104105"/>
    <n v="2580437"/>
    <n v="170297.60000000001"/>
    <n v="14488.75"/>
    <n v="13384.984664133015"/>
    <n v="1103.7653358669847"/>
    <n v="1103.7653358669847"/>
    <n v="1103.7653358669847"/>
    <n v="30"/>
    <m/>
    <x v="10"/>
  </r>
  <r>
    <x v="0"/>
    <n v="3104105"/>
    <n v="2580438"/>
    <n v="98259.92"/>
    <n v="10433.549999999999"/>
    <n v="9650.1982641330142"/>
    <n v="783.35173586698465"/>
    <n v="783.35173586698465"/>
    <n v="783.35173586698465"/>
    <n v="30"/>
    <m/>
    <x v="10"/>
  </r>
  <r>
    <x v="0"/>
    <n v="3104105"/>
    <n v="2580439"/>
    <n v="206255.28"/>
    <n v="19648.68"/>
    <n v="18132.120264133016"/>
    <n v="1516.5597358669847"/>
    <n v="1516.5597358669847"/>
    <n v="1516.5597358669847"/>
    <n v="30"/>
    <m/>
    <x v="10"/>
  </r>
  <r>
    <x v="0"/>
    <n v="3104105"/>
    <n v="2580440"/>
    <n v="269695.35999999999"/>
    <n v="27191.599999999999"/>
    <n v="25089.166664133016"/>
    <n v="2102.4333358669846"/>
    <n v="2102.4333358669846"/>
    <n v="2102.4333358669846"/>
    <n v="30"/>
    <m/>
    <x v="10"/>
  </r>
  <r>
    <x v="0"/>
    <n v="3104105"/>
    <n v="2580441"/>
    <n v="153104.16"/>
    <n v="21775.01"/>
    <n v="20088.343864133014"/>
    <n v="1686.6661358669844"/>
    <n v="1686.6661358669844"/>
    <n v="1686.6661358669844"/>
    <n v="30"/>
    <m/>
    <x v="10"/>
  </r>
  <r>
    <x v="0"/>
    <n v="3104105"/>
    <n v="2580442"/>
    <n v="165558.79999999999"/>
    <n v="7389.03999999999"/>
    <n v="6853.651464133005"/>
    <n v="535.38853586698463"/>
    <n v="535.38853586698463"/>
    <n v="535.38853586698463"/>
    <n v="30"/>
    <m/>
    <x v="10"/>
  </r>
  <r>
    <x v="0"/>
    <n v="3104105"/>
    <n v="2580443"/>
    <n v="226918.56"/>
    <n v="29654.9"/>
    <n v="27446.736264133018"/>
    <n v="2208.1637358669846"/>
    <n v="2208.1637358669846"/>
    <n v="2208.1637358669846"/>
    <n v="30"/>
    <m/>
    <x v="10"/>
  </r>
  <r>
    <x v="0"/>
    <n v="3104105"/>
    <n v="2589448"/>
    <n v="337858.92"/>
    <n v="26652.48"/>
    <n v="24563.557864133014"/>
    <n v="2088.9221358669847"/>
    <n v="2088.9221358669847"/>
    <n v="2088.9221358669847"/>
    <n v="30"/>
    <m/>
    <x v="10"/>
  </r>
  <r>
    <x v="0"/>
    <n v="3104105"/>
    <n v="2589449"/>
    <n v="237677.08"/>
    <n v="20898.169999999998"/>
    <n v="19281.651064133013"/>
    <n v="1616.5189358669845"/>
    <n v="1616.5189358669845"/>
    <n v="1616.5189358669845"/>
    <n v="30"/>
    <m/>
    <x v="10"/>
  </r>
  <r>
    <x v="0"/>
    <n v="3104105"/>
    <n v="2589450"/>
    <n v="271857.44"/>
    <n v="22371.96"/>
    <n v="20613.413864133014"/>
    <n v="1758.5461358669845"/>
    <n v="1758.5461358669845"/>
    <n v="1758.5461358669845"/>
    <n v="30"/>
    <m/>
    <x v="10"/>
  </r>
  <r>
    <x v="0"/>
    <n v="3104105"/>
    <n v="2589451"/>
    <n v="271023.5"/>
    <n v="35426.199999999997"/>
    <n v="32644.949864133014"/>
    <n v="2781.2501358669847"/>
    <n v="2781.2501358669847"/>
    <n v="2781.2501358669847"/>
    <n v="30"/>
    <m/>
    <x v="10"/>
  </r>
  <r>
    <x v="0"/>
    <n v="3104105"/>
    <n v="2591326"/>
    <n v="188093.35"/>
    <n v="16811.669999999998"/>
    <n v="15480.670264133014"/>
    <n v="1330.9997358669846"/>
    <n v="1330.9997358669846"/>
    <n v="1330.9997358669846"/>
    <n v="30"/>
    <m/>
    <x v="10"/>
  </r>
  <r>
    <x v="0"/>
    <n v="3104105"/>
    <n v="2591327"/>
    <n v="160346.29999999999"/>
    <n v="19831.91"/>
    <n v="18220.343864133014"/>
    <n v="1611.5661358669845"/>
    <n v="1611.5661358669845"/>
    <n v="1611.5661358669845"/>
    <n v="30"/>
    <m/>
    <x v="10"/>
  </r>
  <r>
    <x v="0"/>
    <n v="3104105"/>
    <n v="2591328"/>
    <n v="181339.1"/>
    <n v="16753.91"/>
    <n v="15333.400664133016"/>
    <n v="1420.5093358669847"/>
    <n v="1420.5093358669847"/>
    <n v="1420.5093358669847"/>
    <n v="30"/>
    <m/>
    <x v="10"/>
  </r>
  <r>
    <x v="0"/>
    <n v="3104105"/>
    <n v="2591329"/>
    <n v="246059.95"/>
    <n v="20129.57"/>
    <n v="18478.816664133014"/>
    <n v="1650.7533358669846"/>
    <n v="1650.7533358669846"/>
    <n v="1650.7533358669846"/>
    <n v="30"/>
    <m/>
    <x v="10"/>
  </r>
  <r>
    <x v="0"/>
    <n v="3104105"/>
    <n v="2591330"/>
    <n v="239755.95"/>
    <n v="12132.24"/>
    <n v="11085.658664133014"/>
    <n v="1046.5813358669848"/>
    <n v="1046.5813358669848"/>
    <n v="1046.5813358669848"/>
    <n v="30"/>
    <m/>
    <x v="10"/>
  </r>
  <r>
    <x v="0"/>
    <n v="3104105"/>
    <n v="2591331"/>
    <n v="188210.25"/>
    <n v="19428.43"/>
    <n v="17838.547064133014"/>
    <n v="1589.8829358669848"/>
    <n v="1589.8829358669848"/>
    <n v="1589.8829358669848"/>
    <n v="30"/>
    <m/>
    <x v="10"/>
  </r>
  <r>
    <x v="0"/>
    <n v="3104105"/>
    <n v="2591332"/>
    <n v="126199.35"/>
    <n v="7097.9400000000096"/>
    <n v="6543.3346641330245"/>
    <n v="554.60533586698466"/>
    <n v="554.60533586698466"/>
    <n v="554.60533586698466"/>
    <n v="30"/>
    <m/>
    <x v="10"/>
  </r>
  <r>
    <x v="0"/>
    <n v="3104105"/>
    <n v="2591333"/>
    <n v="152311.04999999999"/>
    <n v="8444.3999999999905"/>
    <n v="7791.9450641330059"/>
    <n v="652.45493586698467"/>
    <n v="652.45493586698467"/>
    <n v="652.45493586698467"/>
    <n v="30"/>
    <m/>
    <x v="10"/>
  </r>
  <r>
    <x v="0"/>
    <n v="3104105"/>
    <n v="2598314"/>
    <n v="223243"/>
    <n v="14071.29"/>
    <n v="13033.184664133016"/>
    <n v="1038.1053358669847"/>
    <n v="1038.1053358669847"/>
    <n v="1038.1053358669847"/>
    <n v="30"/>
    <m/>
    <x v="10"/>
  </r>
  <r>
    <x v="0"/>
    <n v="3104105"/>
    <n v="2598317"/>
    <n v="219770"/>
    <n v="18197.599999999999"/>
    <n v="16755.654664133013"/>
    <n v="1441.9453358669846"/>
    <n v="1441.9453358669846"/>
    <n v="1441.9453358669846"/>
    <n v="30"/>
    <m/>
    <x v="10"/>
  </r>
  <r>
    <x v="0"/>
    <n v="3104105"/>
    <n v="2604820"/>
    <n v="451337.6"/>
    <n v="51659.53"/>
    <n v="47560.499064133015"/>
    <n v="4099.0309358669847"/>
    <n v="4099.0309358669847"/>
    <n v="4099.0309358669847"/>
    <n v="30"/>
    <m/>
    <x v="10"/>
  </r>
  <r>
    <x v="0"/>
    <n v="3104105"/>
    <n v="2604821"/>
    <n v="319915.8"/>
    <n v="17329.59"/>
    <n v="15843.480664133016"/>
    <n v="1486.1093358669846"/>
    <n v="1486.1093358669846"/>
    <n v="1486.1093358669846"/>
    <n v="30"/>
    <m/>
    <x v="10"/>
  </r>
  <r>
    <x v="0"/>
    <n v="3104105"/>
    <n v="2604822"/>
    <n v="353722.6"/>
    <n v="44542.84"/>
    <n v="41087.222664133013"/>
    <n v="3455.6173358669848"/>
    <n v="3455.6173358669848"/>
    <n v="3455.6173358669848"/>
    <n v="30"/>
    <m/>
    <x v="10"/>
  </r>
  <r>
    <x v="0"/>
    <n v="3104105"/>
    <n v="2604823"/>
    <n v="283527.59999999998"/>
    <n v="28463.26"/>
    <n v="26227.638664133014"/>
    <n v="2235.6213358669847"/>
    <n v="2235.6213358669847"/>
    <n v="2235.6213358669847"/>
    <n v="30"/>
    <m/>
    <x v="10"/>
  </r>
  <r>
    <x v="0"/>
    <n v="3104105"/>
    <n v="2604824"/>
    <n v="454986.8"/>
    <n v="52828.99"/>
    <n v="48449.031064133014"/>
    <n v="4379.9589358669846"/>
    <n v="4379.9589358669846"/>
    <n v="4379.9589358669846"/>
    <n v="30"/>
    <m/>
    <x v="10"/>
  </r>
  <r>
    <x v="0"/>
    <n v="3104105"/>
    <n v="2604825"/>
    <n v="426883.8"/>
    <n v="62017.86"/>
    <n v="56882.914664133015"/>
    <n v="5134.9453358669844"/>
    <n v="5134.9453358669844"/>
    <n v="5134.9453358669844"/>
    <n v="30"/>
    <m/>
    <x v="10"/>
  </r>
  <r>
    <x v="0"/>
    <n v="3104105"/>
    <n v="2609332"/>
    <n v="350455.2"/>
    <n v="35742.74"/>
    <n v="32903.080264133016"/>
    <n v="2839.6597358669846"/>
    <n v="2839.6597358669846"/>
    <n v="2839.6597358669846"/>
    <n v="30"/>
    <m/>
    <x v="10"/>
  </r>
  <r>
    <x v="0"/>
    <n v="3104105"/>
    <n v="2609333"/>
    <n v="358920"/>
    <n v="33220.78"/>
    <n v="30559.860264133014"/>
    <n v="2660.9197358669849"/>
    <n v="2660.9197358669849"/>
    <n v="2660.9197358669849"/>
    <n v="30"/>
    <m/>
    <x v="10"/>
  </r>
  <r>
    <x v="0"/>
    <n v="3104105"/>
    <n v="2609334"/>
    <n v="327095.59999999998"/>
    <n v="27542.86"/>
    <n v="25370.137864133016"/>
    <n v="2172.7221358669844"/>
    <n v="2172.7221358669844"/>
    <n v="2172.7221358669844"/>
    <n v="30"/>
    <m/>
    <x v="10"/>
  </r>
  <r>
    <x v="0"/>
    <n v="3104105"/>
    <n v="2609335"/>
    <n v="416766.4"/>
    <n v="38673.24"/>
    <n v="35605.260264133016"/>
    <n v="3067.9797358669848"/>
    <n v="3067.9797358669848"/>
    <n v="3067.9797358669848"/>
    <n v="30"/>
    <m/>
    <x v="10"/>
  </r>
  <r>
    <x v="0"/>
    <n v="3104105"/>
    <n v="2609336"/>
    <n v="299889.88"/>
    <n v="31778.53"/>
    <n v="29237.586264133013"/>
    <n v="2540.9437358669848"/>
    <n v="2540.9437358669848"/>
    <n v="2540.9437358669848"/>
    <n v="30"/>
    <m/>
    <x v="10"/>
  </r>
  <r>
    <x v="0"/>
    <n v="3104105"/>
    <n v="2609337"/>
    <n v="370236.8"/>
    <n v="24288.01"/>
    <n v="22363.892664133014"/>
    <n v="1924.1173358669848"/>
    <n v="1924.1173358669848"/>
    <n v="1924.1173358669848"/>
    <n v="30"/>
    <m/>
    <x v="10"/>
  </r>
  <r>
    <x v="0"/>
    <n v="3104105"/>
    <n v="2609338"/>
    <n v="338135.6"/>
    <n v="35080.78"/>
    <n v="32298.738664133016"/>
    <n v="2782.0413358669844"/>
    <n v="2782.0413358669844"/>
    <n v="2782.0413358669844"/>
    <n v="30"/>
    <m/>
    <x v="10"/>
  </r>
  <r>
    <x v="0"/>
    <n v="3104105"/>
    <n v="2609339"/>
    <n v="342293.6"/>
    <n v="23110.01"/>
    <n v="21216.330264133016"/>
    <n v="1893.6797358669846"/>
    <n v="1893.6797358669846"/>
    <n v="1893.6797358669846"/>
    <n v="30"/>
    <m/>
    <x v="10"/>
  </r>
  <r>
    <x v="0"/>
    <n v="3104105"/>
    <n v="2609340"/>
    <n v="257742.12"/>
    <n v="29906.79"/>
    <n v="27524.616664133016"/>
    <n v="2382.1733358669844"/>
    <n v="2382.1733358669844"/>
    <n v="2382.1733358669844"/>
    <n v="30"/>
    <m/>
    <x v="10"/>
  </r>
  <r>
    <x v="0"/>
    <n v="3104105"/>
    <n v="2609341"/>
    <n v="305319.5"/>
    <n v="17064.43"/>
    <n v="15770.600664133015"/>
    <n v="1293.8293358669846"/>
    <n v="1293.8293358669846"/>
    <n v="1293.8293358669846"/>
    <n v="30"/>
    <m/>
    <x v="10"/>
  </r>
  <r>
    <x v="0"/>
    <n v="3104105"/>
    <n v="2609342"/>
    <n v="367170.9"/>
    <n v="28153.07"/>
    <n v="25979.599864133015"/>
    <n v="2173.4701358669849"/>
    <n v="2173.4701358669849"/>
    <n v="2173.4701358669849"/>
    <n v="30"/>
    <m/>
    <x v="10"/>
  </r>
  <r>
    <x v="0"/>
    <n v="3104105"/>
    <n v="2609343"/>
    <n v="421794.12"/>
    <n v="36858.620000000003"/>
    <n v="33936.661064133019"/>
    <n v="2921.9589358669846"/>
    <n v="2921.9589358669846"/>
    <n v="2921.9589358669846"/>
    <n v="30"/>
    <m/>
    <x v="10"/>
  </r>
  <r>
    <x v="0"/>
    <n v="3104105"/>
    <n v="2609344"/>
    <n v="330873.15999999997"/>
    <n v="39610.39"/>
    <n v="36497.504664133012"/>
    <n v="3112.8853358669849"/>
    <n v="3112.8853358669849"/>
    <n v="3112.8853358669849"/>
    <n v="30"/>
    <m/>
    <x v="10"/>
  </r>
  <r>
    <x v="0"/>
    <n v="3104105"/>
    <n v="2609345"/>
    <n v="263560"/>
    <n v="31551.06"/>
    <n v="29058.806664133015"/>
    <n v="2492.2533358669843"/>
    <n v="2492.2533358669843"/>
    <n v="2492.2533358669843"/>
    <n v="30"/>
    <m/>
    <x v="10"/>
  </r>
  <r>
    <x v="0"/>
    <n v="3104105"/>
    <n v="2609346"/>
    <n v="400399.58"/>
    <n v="50765.45"/>
    <n v="46746.807864133014"/>
    <n v="4018.6421358669845"/>
    <n v="4018.6421358669845"/>
    <n v="4018.6421358669845"/>
    <n v="30"/>
    <m/>
    <x v="10"/>
  </r>
  <r>
    <x v="0"/>
    <n v="3104105"/>
    <n v="2609474"/>
    <n v="169180.4"/>
    <n v="19652.23"/>
    <n v="18256.251864133013"/>
    <n v="1395.9781358669845"/>
    <n v="1395.9781358669845"/>
    <n v="1395.9781358669845"/>
    <n v="30"/>
    <m/>
    <x v="10"/>
  </r>
  <r>
    <x v="0"/>
    <n v="3104105"/>
    <n v="2609475"/>
    <n v="154367"/>
    <n v="14928.14"/>
    <n v="13775.894664133015"/>
    <n v="1152.2453358669845"/>
    <n v="1152.2453358669845"/>
    <n v="1152.2453358669845"/>
    <n v="30"/>
    <m/>
    <x v="10"/>
  </r>
  <r>
    <x v="0"/>
    <n v="3104105"/>
    <n v="2609476"/>
    <n v="235237.2"/>
    <n v="19982.71"/>
    <n v="18403.467064133016"/>
    <n v="1579.2429358669847"/>
    <n v="1579.2429358669847"/>
    <n v="1579.2429358669847"/>
    <n v="30"/>
    <m/>
    <x v="10"/>
  </r>
  <r>
    <x v="0"/>
    <n v="3104105"/>
    <n v="2609477"/>
    <n v="171691.6"/>
    <n v="16956.61"/>
    <n v="15657.540664133016"/>
    <n v="1299.0693358669846"/>
    <n v="1299.0693358669846"/>
    <n v="1299.0693358669846"/>
    <n v="30"/>
    <m/>
    <x v="10"/>
  </r>
  <r>
    <x v="0"/>
    <n v="3104105"/>
    <n v="2609478"/>
    <n v="224478"/>
    <n v="21582.49"/>
    <n v="19904.346264133019"/>
    <n v="1678.1437358669846"/>
    <n v="1678.1437358669846"/>
    <n v="1678.1437358669846"/>
    <n v="30"/>
    <m/>
    <x v="10"/>
  </r>
  <r>
    <x v="0"/>
    <n v="3104105"/>
    <n v="2609479"/>
    <n v="276369.75"/>
    <n v="20239.63"/>
    <n v="18669.944664133018"/>
    <n v="1569.6853358669846"/>
    <n v="1569.6853358669846"/>
    <n v="1569.6853358669846"/>
    <n v="30"/>
    <m/>
    <x v="10"/>
  </r>
  <r>
    <x v="0"/>
    <n v="3104105"/>
    <n v="2609480"/>
    <n v="219030.75"/>
    <n v="13358.98"/>
    <n v="12330.343464133015"/>
    <n v="1028.6365358669846"/>
    <n v="1028.6365358669846"/>
    <n v="1028.6365358669846"/>
    <n v="30"/>
    <m/>
    <x v="10"/>
  </r>
  <r>
    <x v="0"/>
    <n v="3104105"/>
    <n v="2609481"/>
    <n v="155260"/>
    <n v="19682.88"/>
    <n v="18168.300264133017"/>
    <n v="1514.5797358669847"/>
    <n v="1514.5797358669847"/>
    <n v="1514.5797358669847"/>
    <n v="30"/>
    <m/>
    <x v="10"/>
  </r>
  <r>
    <x v="0"/>
    <n v="3104105"/>
    <n v="2609482"/>
    <n v="194389.5"/>
    <n v="20233.2"/>
    <n v="18662.640264133017"/>
    <n v="1570.5597358669847"/>
    <n v="1570.5597358669847"/>
    <n v="1570.5597358669847"/>
    <n v="30"/>
    <m/>
    <x v="10"/>
  </r>
  <r>
    <x v="0"/>
    <n v="3104105"/>
    <n v="2609483"/>
    <n v="199467"/>
    <n v="5415.2300000000096"/>
    <n v="5024.995864133025"/>
    <n v="390.23413586698462"/>
    <n v="390.23413586698462"/>
    <n v="390.23413586698462"/>
    <n v="30"/>
    <m/>
    <x v="10"/>
  </r>
  <r>
    <x v="0"/>
    <n v="3104105"/>
    <n v="2609484"/>
    <n v="172743.6"/>
    <n v="16933.55"/>
    <n v="15711.142264133014"/>
    <n v="1222.4077358669847"/>
    <n v="1222.4077358669847"/>
    <n v="1222.4077358669847"/>
    <n v="30"/>
    <m/>
    <x v="10"/>
  </r>
  <r>
    <x v="0"/>
    <n v="3104105"/>
    <n v="2609485"/>
    <n v="184544"/>
    <n v="18715.12"/>
    <n v="17271.934664133016"/>
    <n v="1443.1853358669846"/>
    <n v="1443.1853358669846"/>
    <n v="1443.1853358669846"/>
    <n v="30"/>
    <m/>
    <x v="10"/>
  </r>
  <r>
    <x v="0"/>
    <n v="3104105"/>
    <n v="2609486"/>
    <n v="261611.5"/>
    <n v="27172.1"/>
    <n v="25150.185064133013"/>
    <n v="2021.9149358669847"/>
    <n v="2021.9149358669847"/>
    <n v="2021.9149358669847"/>
    <n v="30"/>
    <m/>
    <x v="10"/>
  </r>
  <r>
    <x v="0"/>
    <n v="3104105"/>
    <n v="2609487"/>
    <n v="268122.5"/>
    <n v="27797.31"/>
    <n v="25566.736664133015"/>
    <n v="2230.5733358669845"/>
    <n v="2230.5733358669845"/>
    <n v="2230.5733358669845"/>
    <n v="30"/>
    <m/>
    <x v="10"/>
  </r>
  <r>
    <x v="0"/>
    <n v="3104105"/>
    <n v="2609488"/>
    <n v="131873.75"/>
    <n v="11852.21"/>
    <n v="10811.143864133015"/>
    <n v="1041.0661358669847"/>
    <n v="1041.0661358669847"/>
    <n v="1041.0661358669847"/>
    <n v="30"/>
    <m/>
    <x v="10"/>
  </r>
  <r>
    <x v="0"/>
    <n v="3104105"/>
    <n v="2609489"/>
    <n v="115308.75"/>
    <n v="10337.93"/>
    <n v="9547.9502641330164"/>
    <n v="789.9797358669847"/>
    <n v="789.9797358669847"/>
    <n v="789.9797358669847"/>
    <n v="30"/>
    <m/>
    <x v="10"/>
  </r>
  <r>
    <x v="0"/>
    <n v="3104105"/>
    <n v="2609490"/>
    <n v="138750.25"/>
    <n v="17405.419999999998"/>
    <n v="16043.174664133014"/>
    <n v="1362.2453358669845"/>
    <n v="1362.2453358669845"/>
    <n v="1362.2453358669845"/>
    <n v="30"/>
    <m/>
    <x v="10"/>
  </r>
  <r>
    <x v="0"/>
    <n v="3104105"/>
    <n v="2609491"/>
    <n v="196474.8"/>
    <n v="15544.09"/>
    <n v="14220.135864133015"/>
    <n v="1323.9541358669846"/>
    <n v="1323.9541358669846"/>
    <n v="1323.9541358669846"/>
    <n v="30"/>
    <m/>
    <x v="10"/>
  </r>
  <r>
    <x v="0"/>
    <n v="3104105"/>
    <n v="2609492"/>
    <n v="185941.6"/>
    <n v="20325.87"/>
    <n v="18753.521464133013"/>
    <n v="1572.3485358669848"/>
    <n v="1572.3485358669848"/>
    <n v="1572.3485358669848"/>
    <n v="30"/>
    <m/>
    <x v="10"/>
  </r>
  <r>
    <x v="0"/>
    <n v="3104105"/>
    <n v="2609493"/>
    <n v="213083.5"/>
    <n v="11725.46"/>
    <n v="10783.706664133015"/>
    <n v="941.75333586698468"/>
    <n v="941.75333586698468"/>
    <n v="941.75333586698468"/>
    <n v="30"/>
    <m/>
    <x v="10"/>
  </r>
  <r>
    <x v="0"/>
    <n v="3104105"/>
    <n v="2610455"/>
    <n v="583521"/>
    <n v="24056.53"/>
    <n v="22213.864664133012"/>
    <n v="1842.6653358669846"/>
    <n v="1842.6653358669846"/>
    <n v="1842.6653358669846"/>
    <n v="30"/>
    <m/>
    <x v="10"/>
  </r>
  <r>
    <x v="0"/>
    <n v="3104105"/>
    <n v="2610456"/>
    <n v="512948"/>
    <n v="21768.71"/>
    <n v="20136.364664133016"/>
    <n v="1632.3453358669847"/>
    <n v="1632.3453358669847"/>
    <n v="1632.3453358669847"/>
    <n v="30"/>
    <m/>
    <x v="10"/>
  </r>
  <r>
    <x v="0"/>
    <n v="3104105"/>
    <n v="2610457"/>
    <n v="604418"/>
    <n v="36349.4"/>
    <n v="33529.302664133014"/>
    <n v="2820.0973358669848"/>
    <n v="2820.0973358669848"/>
    <n v="2820.0973358669848"/>
    <n v="30"/>
    <m/>
    <x v="10"/>
  </r>
  <r>
    <x v="0"/>
    <n v="3104105"/>
    <n v="2610458"/>
    <n v="349343"/>
    <n v="21442"/>
    <n v="19789.974664133017"/>
    <n v="1652.0253358669847"/>
    <n v="1652.0253358669847"/>
    <n v="1652.0253358669847"/>
    <n v="30"/>
    <m/>
    <x v="10"/>
  </r>
  <r>
    <x v="0"/>
    <n v="3104105"/>
    <n v="2610459"/>
    <n v="289913"/>
    <n v="30884.79"/>
    <n v="28478.204664133016"/>
    <n v="2406.5853358669847"/>
    <n v="2406.5853358669847"/>
    <n v="2406.5853358669847"/>
    <n v="30"/>
    <m/>
    <x v="10"/>
  </r>
  <r>
    <x v="0"/>
    <n v="3104105"/>
    <n v="2610460"/>
    <n v="260499"/>
    <n v="416"/>
    <n v="444.13466413301541"/>
    <n v="-28.134664133015409"/>
    <n v="-28.134664133015409"/>
    <n v="-28.134664133015409"/>
    <n v="30"/>
    <m/>
    <x v="10"/>
  </r>
  <r>
    <x v="0"/>
    <n v="3104105"/>
    <n v="2610461"/>
    <n v="489044"/>
    <n v="23958.97"/>
    <n v="22150.304664133015"/>
    <n v="1808.6653358669846"/>
    <n v="1808.6653358669846"/>
    <n v="1808.6653358669846"/>
    <n v="30"/>
    <m/>
    <x v="10"/>
  </r>
  <r>
    <x v="0"/>
    <n v="3104105"/>
    <n v="2610462"/>
    <n v="258779"/>
    <n v="-14027"/>
    <n v="-12843.345335866985"/>
    <n v="-1183.6546641330153"/>
    <n v="-1183.6546641330153"/>
    <n v="-1183.6546641330153"/>
    <n v="30"/>
    <m/>
    <x v="10"/>
  </r>
  <r>
    <x v="0"/>
    <n v="3104105"/>
    <n v="2611244"/>
    <n v="138519"/>
    <n v="1909.09"/>
    <n v="1821.4574641330153"/>
    <n v="87.632535866984583"/>
    <n v="87.632535866984583"/>
    <n v="87.632535866984583"/>
    <n v="30"/>
    <m/>
    <x v="10"/>
  </r>
  <r>
    <x v="0"/>
    <n v="3104105"/>
    <n v="2611245"/>
    <n v="195117"/>
    <n v="15425.18"/>
    <n v="14251.380264133015"/>
    <n v="1173.7997358669847"/>
    <n v="1173.7997358669847"/>
    <n v="1173.7997358669847"/>
    <n v="30"/>
    <m/>
    <x v="10"/>
  </r>
  <r>
    <x v="0"/>
    <n v="3104105"/>
    <n v="2611246"/>
    <n v="156048"/>
    <n v="13828.96"/>
    <n v="12777.977864133014"/>
    <n v="1050.9821358669847"/>
    <n v="1050.9821358669847"/>
    <n v="1050.9821358669847"/>
    <n v="30"/>
    <m/>
    <x v="10"/>
  </r>
  <r>
    <x v="0"/>
    <n v="3104105"/>
    <n v="2611247"/>
    <n v="117415"/>
    <n v="-776.07999999998697"/>
    <n v="-658.65893586697155"/>
    <n v="-117.42106413301542"/>
    <n v="-117.42106413301542"/>
    <n v="-117.42106413301542"/>
    <n v="30"/>
    <m/>
    <x v="10"/>
  </r>
  <r>
    <x v="0"/>
    <n v="3104105"/>
    <n v="2611248"/>
    <n v="260655"/>
    <n v="20065.11"/>
    <n v="18548.664664133015"/>
    <n v="1516.4453358669846"/>
    <n v="1516.4453358669846"/>
    <n v="1516.4453358669846"/>
    <n v="30"/>
    <m/>
    <x v="10"/>
  </r>
  <r>
    <x v="0"/>
    <n v="3104105"/>
    <n v="2611249"/>
    <n v="237615"/>
    <n v="20695"/>
    <n v="19094.734664133015"/>
    <n v="1600.2653358669847"/>
    <n v="1600.2653358669847"/>
    <n v="1600.2653358669847"/>
    <n v="30"/>
    <m/>
    <x v="10"/>
  </r>
  <r>
    <x v="0"/>
    <n v="3104105"/>
    <n v="2611250"/>
    <n v="253880"/>
    <n v="9223"/>
    <n v="8540.4946641330152"/>
    <n v="682.50533586698464"/>
    <n v="682.50533586698464"/>
    <n v="682.50533586698464"/>
    <n v="30"/>
    <m/>
    <x v="10"/>
  </r>
  <r>
    <x v="0"/>
    <n v="3104105"/>
    <n v="2611251"/>
    <n v="309693"/>
    <n v="614.41000000000304"/>
    <n v="629.01106413301841"/>
    <n v="-14.601064133015406"/>
    <n v="-14.601064133015406"/>
    <n v="-14.601064133015406"/>
    <n v="30"/>
    <m/>
    <x v="10"/>
  </r>
  <r>
    <x v="0"/>
    <n v="3104105"/>
    <n v="2612139"/>
    <n v="608011"/>
    <n v="26629.17"/>
    <n v="24497.064664133013"/>
    <n v="2132.1053358669847"/>
    <n v="2132.1053358669847"/>
    <n v="2132.1053358669847"/>
    <n v="30"/>
    <m/>
    <x v="10"/>
  </r>
  <r>
    <x v="0"/>
    <n v="3104105"/>
    <n v="2612140"/>
    <n v="272735.25"/>
    <n v="22387.5"/>
    <n v="20635.214664133015"/>
    <n v="1752.2853358669847"/>
    <n v="1752.2853358669847"/>
    <n v="1752.2853358669847"/>
    <n v="30"/>
    <m/>
    <x v="10"/>
  </r>
  <r>
    <x v="0"/>
    <n v="3104105"/>
    <n v="2612141"/>
    <n v="391196.75"/>
    <n v="26398.799999999999"/>
    <n v="24300.914664133015"/>
    <n v="2097.8853358669849"/>
    <n v="2097.8853358669849"/>
    <n v="2097.8853358669849"/>
    <n v="30"/>
    <m/>
    <x v="10"/>
  </r>
  <r>
    <x v="0"/>
    <n v="3104105"/>
    <n v="2615891"/>
    <n v="327044.59999999998"/>
    <n v="26362.09"/>
    <n v="24501.873464133016"/>
    <n v="1860.2165358669845"/>
    <n v="1860.2165358669845"/>
    <n v="1860.2165358669845"/>
    <n v="30"/>
    <m/>
    <x v="10"/>
  </r>
  <r>
    <x v="0"/>
    <n v="3104105"/>
    <n v="2615892"/>
    <n v="403948.79999999999"/>
    <n v="32872.46"/>
    <n v="30203.129864133014"/>
    <n v="2669.3301358669846"/>
    <n v="2669.3301358669846"/>
    <n v="2669.3301358669846"/>
    <n v="30"/>
    <m/>
    <x v="10"/>
  </r>
  <r>
    <x v="0"/>
    <n v="3104105"/>
    <n v="2615893"/>
    <n v="345230"/>
    <n v="34522.910000000003"/>
    <n v="31754.951864133018"/>
    <n v="2767.9581358669848"/>
    <n v="2767.9581358669848"/>
    <n v="2767.9581358669848"/>
    <n v="30"/>
    <m/>
    <x v="10"/>
  </r>
  <r>
    <x v="0"/>
    <n v="3104105"/>
    <n v="2615894"/>
    <n v="482879.6"/>
    <n v="41997.31"/>
    <n v="38675.380664133016"/>
    <n v="3321.9293358669847"/>
    <n v="3321.9293358669847"/>
    <n v="3321.9293358669847"/>
    <n v="30"/>
    <m/>
    <x v="10"/>
  </r>
  <r>
    <x v="0"/>
    <n v="3104105"/>
    <n v="2615895"/>
    <n v="462503.4"/>
    <n v="48030.3"/>
    <n v="44266.083464133015"/>
    <n v="3764.2165358669845"/>
    <n v="3764.2165358669845"/>
    <n v="3764.2165358669845"/>
    <n v="30"/>
    <m/>
    <x v="10"/>
  </r>
  <r>
    <x v="0"/>
    <n v="3104105"/>
    <n v="2615896"/>
    <n v="292086.40000000002"/>
    <n v="30208.45"/>
    <n v="27903.420664133017"/>
    <n v="2305.0293358669846"/>
    <n v="2305.0293358669846"/>
    <n v="2305.0293358669846"/>
    <n v="30"/>
    <m/>
    <x v="10"/>
  </r>
  <r>
    <x v="0"/>
    <n v="3104105"/>
    <n v="2623744"/>
    <n v="332855.40000000002"/>
    <n v="34977.449999999997"/>
    <n v="32292.495064133014"/>
    <n v="2684.9549358669847"/>
    <n v="2684.9549358669847"/>
    <n v="2684.9549358669847"/>
    <n v="30"/>
    <m/>
    <x v="10"/>
  </r>
  <r>
    <x v="0"/>
    <n v="3104105"/>
    <n v="2623745"/>
    <n v="273661.59999999998"/>
    <n v="25749.47"/>
    <n v="23777.463864133017"/>
    <n v="1972.0061358669846"/>
    <n v="1972.0061358669846"/>
    <n v="1972.0061358669846"/>
    <n v="30"/>
    <m/>
    <x v="10"/>
  </r>
  <r>
    <x v="0"/>
    <n v="3104105"/>
    <n v="2623746"/>
    <n v="290463.59999999998"/>
    <n v="55598.58"/>
    <n v="51237.767464133016"/>
    <n v="4360.812535866984"/>
    <n v="4360.812535866984"/>
    <n v="4360.812535866984"/>
    <n v="30"/>
    <m/>
    <x v="10"/>
  </r>
  <r>
    <x v="0"/>
    <n v="3104105"/>
    <n v="2623747"/>
    <n v="321873"/>
    <n v="30087.65"/>
    <n v="27825.421464133018"/>
    <n v="2262.2285358669847"/>
    <n v="2262.2285358669847"/>
    <n v="2262.2285358669847"/>
    <n v="30"/>
    <m/>
    <x v="10"/>
  </r>
  <r>
    <x v="0"/>
    <n v="3104105"/>
    <n v="2634186"/>
    <n v="363262.4"/>
    <n v="40165.769999999997"/>
    <n v="36805.637464133011"/>
    <n v="3360.1325358669842"/>
    <n v="3360.1325358669842"/>
    <n v="3360.1325358669842"/>
    <n v="30"/>
    <m/>
    <x v="10"/>
  </r>
  <r>
    <x v="0"/>
    <n v="3104105"/>
    <n v="2634187"/>
    <n v="317247"/>
    <n v="31600.68"/>
    <n v="29109.860264133014"/>
    <n v="2490.8197358669845"/>
    <n v="2490.8197358669845"/>
    <n v="2490.8197358669845"/>
    <n v="30"/>
    <m/>
    <x v="10"/>
  </r>
  <r>
    <x v="0"/>
    <n v="3104105"/>
    <n v="2634188"/>
    <n v="405690.6"/>
    <n v="41634.76"/>
    <n v="38347.929864133017"/>
    <n v="3286.8301358669846"/>
    <n v="3286.8301358669846"/>
    <n v="3286.8301358669846"/>
    <n v="30"/>
    <m/>
    <x v="10"/>
  </r>
  <r>
    <x v="0"/>
    <n v="3104105"/>
    <n v="2634189"/>
    <n v="304769.09999999998"/>
    <n v="28405.72"/>
    <n v="26170.867464133018"/>
    <n v="2234.8525358669845"/>
    <n v="2234.8525358669845"/>
    <n v="2234.8525358669845"/>
    <n v="30"/>
    <m/>
    <x v="10"/>
  </r>
  <r>
    <x v="0"/>
    <n v="3104105"/>
    <n v="2634190"/>
    <n v="273696.90000000002"/>
    <n v="23277.68"/>
    <n v="21430.037064133016"/>
    <n v="1847.6429358669848"/>
    <n v="1847.6429358669848"/>
    <n v="1847.6429358669848"/>
    <n v="30"/>
    <m/>
    <x v="10"/>
  </r>
  <r>
    <x v="0"/>
    <n v="3104105"/>
    <n v="2634191"/>
    <n v="297596"/>
    <n v="29258.31"/>
    <n v="26912.072664133018"/>
    <n v="2346.2373358669847"/>
    <n v="2346.2373358669847"/>
    <n v="2346.2373358669847"/>
    <n v="30"/>
    <m/>
    <x v="10"/>
  </r>
  <r>
    <x v="0"/>
    <n v="3104105"/>
    <n v="2634192"/>
    <n v="322280.8"/>
    <n v="22246.84"/>
    <n v="20405.142664133014"/>
    <n v="1841.6973358669848"/>
    <n v="1841.6973358669848"/>
    <n v="1841.6973358669848"/>
    <n v="30"/>
    <m/>
    <x v="10"/>
  </r>
  <r>
    <x v="0"/>
    <n v="3104105"/>
    <n v="2634193"/>
    <n v="413789.7"/>
    <n v="40116.550000000003"/>
    <n v="36892.700664133015"/>
    <n v="3223.8493358669848"/>
    <n v="3223.8493358669848"/>
    <n v="3223.8493358669848"/>
    <n v="30"/>
    <m/>
    <x v="10"/>
  </r>
  <r>
    <x v="0"/>
    <n v="3104105"/>
    <n v="2634194"/>
    <n v="316473.15000000002"/>
    <n v="32770.69"/>
    <n v="30173.287864133017"/>
    <n v="2597.4021358669847"/>
    <n v="2597.4021358669847"/>
    <n v="2597.4021358669847"/>
    <n v="30"/>
    <m/>
    <x v="10"/>
  </r>
  <r>
    <x v="0"/>
    <n v="3104105"/>
    <n v="2634195"/>
    <n v="353577.6"/>
    <n v="23446.53"/>
    <n v="21617.888664133014"/>
    <n v="1828.6413358669847"/>
    <n v="1828.6413358669847"/>
    <n v="1828.6413358669847"/>
    <n v="30"/>
    <m/>
    <x v="10"/>
  </r>
  <r>
    <x v="0"/>
    <n v="3104105"/>
    <n v="2634196"/>
    <n v="305580.5"/>
    <n v="39391.81"/>
    <n v="36205.800664133014"/>
    <n v="3186.0093358669851"/>
    <n v="3186.0093358669851"/>
    <n v="3186.0093358669851"/>
    <n v="30"/>
    <m/>
    <x v="10"/>
  </r>
  <r>
    <x v="0"/>
    <n v="3104105"/>
    <n v="2634197"/>
    <n v="364808.1"/>
    <n v="32125.66"/>
    <n v="29596.805064133016"/>
    <n v="2528.8549358669848"/>
    <n v="2528.8549358669848"/>
    <n v="2528.8549358669848"/>
    <n v="30"/>
    <m/>
    <x v="10"/>
  </r>
  <r>
    <x v="0"/>
    <n v="3104105"/>
    <n v="2634198"/>
    <n v="474253.2"/>
    <n v="51693.36"/>
    <n v="47566.277064133013"/>
    <n v="4127.0829358669844"/>
    <n v="4127.0829358669844"/>
    <n v="4127.0829358669844"/>
    <n v="30"/>
    <m/>
    <x v="10"/>
  </r>
  <r>
    <x v="0"/>
    <n v="3104105"/>
    <n v="2634199"/>
    <n v="233247"/>
    <n v="27109.87"/>
    <n v="24952.216664133015"/>
    <n v="2157.6533358669844"/>
    <n v="2157.6533358669844"/>
    <n v="2157.6533358669844"/>
    <n v="30"/>
    <m/>
    <x v="10"/>
  </r>
  <r>
    <x v="0"/>
    <n v="3104105"/>
    <n v="2634200"/>
    <n v="370536.5"/>
    <n v="38498.35"/>
    <n v="35438.916664133016"/>
    <n v="3059.4333358669846"/>
    <n v="3059.4333358669846"/>
    <n v="3059.4333358669846"/>
    <n v="30"/>
    <m/>
    <x v="10"/>
  </r>
  <r>
    <x v="0"/>
    <n v="3104105"/>
    <n v="2634201"/>
    <n v="363033"/>
    <n v="32262.99"/>
    <n v="29704.216664133019"/>
    <n v="2558.7733358669843"/>
    <n v="2558.7733358669843"/>
    <n v="2558.7733358669843"/>
    <n v="30"/>
    <m/>
    <x v="10"/>
  </r>
  <r>
    <x v="0"/>
    <n v="3104105"/>
    <n v="2635005"/>
    <n v="540847"/>
    <n v="22701.07"/>
    <n v="20827.044664133016"/>
    <n v="1874.0253358669847"/>
    <n v="1874.0253358669847"/>
    <n v="1874.0253358669847"/>
    <n v="30"/>
    <m/>
    <x v="10"/>
  </r>
  <r>
    <x v="0"/>
    <n v="3104105"/>
    <n v="2635006"/>
    <n v="579412"/>
    <n v="26669.07"/>
    <n v="24517.844664133016"/>
    <n v="2151.2253358669846"/>
    <n v="2151.2253358669846"/>
    <n v="2151.2253358669846"/>
    <n v="30"/>
    <m/>
    <x v="10"/>
  </r>
  <r>
    <x v="0"/>
    <n v="3104105"/>
    <n v="2635007"/>
    <n v="369034.75"/>
    <n v="20587.71"/>
    <n v="18931.044664133013"/>
    <n v="1656.6653358669846"/>
    <n v="1656.6653358669846"/>
    <n v="1656.6653358669846"/>
    <n v="30"/>
    <m/>
    <x v="10"/>
  </r>
  <r>
    <x v="0"/>
    <n v="3104105"/>
    <n v="2645163"/>
    <n v="424551.5"/>
    <n v="31621.52"/>
    <n v="29145.054664133015"/>
    <n v="2476.4653358669848"/>
    <n v="2476.4653358669848"/>
    <n v="2476.4653358669848"/>
    <n v="30"/>
    <m/>
    <x v="10"/>
  </r>
  <r>
    <x v="0"/>
    <n v="3104105"/>
    <n v="2645164"/>
    <n v="291207.5"/>
    <n v="14893.52"/>
    <n v="13745.990664133016"/>
    <n v="1147.5293358669846"/>
    <n v="1147.5293358669846"/>
    <n v="1147.5293358669846"/>
    <n v="30"/>
    <m/>
    <x v="10"/>
  </r>
  <r>
    <x v="0"/>
    <n v="3104105"/>
    <n v="2645165"/>
    <n v="243480"/>
    <n v="20209.8"/>
    <n v="18635.374664133014"/>
    <n v="1574.4253358669846"/>
    <n v="1574.4253358669846"/>
    <n v="1574.4253358669846"/>
    <n v="30"/>
    <m/>
    <x v="10"/>
  </r>
  <r>
    <x v="0"/>
    <n v="3104105"/>
    <n v="2645166"/>
    <n v="281174.75"/>
    <n v="29449.25"/>
    <n v="27127.864664133016"/>
    <n v="2321.3853358669849"/>
    <n v="2321.3853358669849"/>
    <n v="2321.3853358669849"/>
    <n v="30"/>
    <m/>
    <x v="10"/>
  </r>
  <r>
    <x v="0"/>
    <n v="3104105"/>
    <n v="2645167"/>
    <n v="327086.25"/>
    <n v="34722.160000000003"/>
    <n v="31989.45466413302"/>
    <n v="2732.7053358669846"/>
    <n v="2732.7053358669846"/>
    <n v="2732.7053358669846"/>
    <n v="30"/>
    <m/>
    <x v="10"/>
  </r>
  <r>
    <x v="0"/>
    <n v="3104105"/>
    <n v="2645168"/>
    <n v="145518.75"/>
    <n v="8937.4999999999909"/>
    <n v="8284.154664133006"/>
    <n v="653.34533586698467"/>
    <n v="653.34533586698467"/>
    <n v="653.34533586698467"/>
    <n v="30"/>
    <m/>
    <x v="10"/>
  </r>
  <r>
    <x v="0"/>
    <n v="3104105"/>
    <n v="2645169"/>
    <n v="376713.5"/>
    <n v="23960.04"/>
    <n v="22077.214664133015"/>
    <n v="1882.8253358669847"/>
    <n v="1882.8253358669847"/>
    <n v="1882.8253358669847"/>
    <n v="30"/>
    <m/>
    <x v="10"/>
  </r>
  <r>
    <x v="0"/>
    <n v="3104105"/>
    <n v="2645170"/>
    <n v="385020"/>
    <n v="27532.400000000001"/>
    <n v="25373.494664133017"/>
    <n v="2158.9053358669848"/>
    <n v="2158.9053358669848"/>
    <n v="2158.9053358669848"/>
    <n v="30"/>
    <m/>
    <x v="10"/>
  </r>
  <r>
    <x v="0"/>
    <n v="3104105"/>
    <n v="2645171"/>
    <n v="320945.75"/>
    <n v="6740.84"/>
    <n v="6277.1746641330155"/>
    <n v="463.66533586698461"/>
    <n v="463.66533586698461"/>
    <n v="463.66533586698461"/>
    <n v="30"/>
    <m/>
    <x v="10"/>
  </r>
  <r>
    <x v="0"/>
    <n v="3104105"/>
    <n v="2645172"/>
    <n v="504255"/>
    <n v="25905.18"/>
    <n v="23829.554664133015"/>
    <n v="2075.6253358669846"/>
    <n v="2075.6253358669846"/>
    <n v="2075.6253358669846"/>
    <n v="30"/>
    <m/>
    <x v="10"/>
  </r>
  <r>
    <x v="0"/>
    <n v="3104105"/>
    <n v="2645173"/>
    <n v="365775"/>
    <n v="21479.35"/>
    <n v="19828.524664133012"/>
    <n v="1650.8253358669847"/>
    <n v="1650.8253358669847"/>
    <n v="1650.8253358669847"/>
    <n v="30"/>
    <m/>
    <x v="10"/>
  </r>
  <r>
    <x v="0"/>
    <n v="3104105"/>
    <n v="2645174"/>
    <n v="229057.5"/>
    <n v="14393.87"/>
    <n v="13305.724664133017"/>
    <n v="1088.1453358669846"/>
    <n v="1088.1453358669846"/>
    <n v="1088.1453358669846"/>
    <n v="30"/>
    <m/>
    <x v="10"/>
  </r>
  <r>
    <x v="0"/>
    <n v="3104105"/>
    <n v="2650434"/>
    <n v="277979.25"/>
    <n v="29251.93"/>
    <n v="26990.640664133018"/>
    <n v="2261.2893358669844"/>
    <n v="2261.2893358669844"/>
    <n v="2261.2893358669844"/>
    <n v="30"/>
    <m/>
    <x v="10"/>
  </r>
  <r>
    <x v="0"/>
    <n v="3104105"/>
    <n v="2650435"/>
    <n v="285814"/>
    <n v="19714.18"/>
    <n v="18197.950664133015"/>
    <n v="1516.2293358669847"/>
    <n v="1516.2293358669847"/>
    <n v="1516.2293358669847"/>
    <n v="30"/>
    <m/>
    <x v="10"/>
  </r>
  <r>
    <x v="0"/>
    <n v="3104105"/>
    <n v="2650436"/>
    <n v="275917.25"/>
    <n v="34842.29"/>
    <n v="32271.406264133017"/>
    <n v="2570.8837358669848"/>
    <n v="2570.8837358669848"/>
    <n v="2570.8837358669848"/>
    <n v="30"/>
    <m/>
    <x v="10"/>
  </r>
  <r>
    <x v="0"/>
    <n v="3104105"/>
    <n v="2650437"/>
    <n v="265930.5"/>
    <n v="28690.89"/>
    <n v="26456.579864133015"/>
    <n v="2234.3101358669846"/>
    <n v="2234.3101358669846"/>
    <n v="2234.3101358669846"/>
    <n v="30"/>
    <m/>
    <x v="10"/>
  </r>
  <r>
    <x v="0"/>
    <n v="3104105"/>
    <n v="2650438"/>
    <n v="320460.75"/>
    <n v="35506.839999999997"/>
    <n v="32780.41226413301"/>
    <n v="2726.4277358669847"/>
    <n v="2726.4277358669847"/>
    <n v="2726.4277358669847"/>
    <n v="30"/>
    <m/>
    <x v="10"/>
  </r>
  <r>
    <x v="0"/>
    <n v="3104105"/>
    <n v="2650439"/>
    <n v="373091.86"/>
    <n v="42138.52"/>
    <n v="38814.130664133016"/>
    <n v="3324.3893358669848"/>
    <n v="3324.3893358669848"/>
    <n v="3324.3893358669848"/>
    <n v="30"/>
    <m/>
    <x v="10"/>
  </r>
  <r>
    <x v="0"/>
    <n v="3104105"/>
    <n v="2650440"/>
    <n v="325581.14"/>
    <n v="13672.27"/>
    <n v="12616.221464133016"/>
    <n v="1056.0485358669846"/>
    <n v="1056.0485358669846"/>
    <n v="1056.0485358669846"/>
    <n v="30"/>
    <m/>
    <x v="10"/>
  </r>
  <r>
    <x v="0"/>
    <n v="3104105"/>
    <n v="2650441"/>
    <n v="336919.58"/>
    <n v="39199.82"/>
    <n v="36110.473064133017"/>
    <n v="3089.3469358669845"/>
    <n v="3089.3469358669845"/>
    <n v="3089.3469358669845"/>
    <n v="30"/>
    <m/>
    <x v="10"/>
  </r>
  <r>
    <x v="0"/>
    <n v="3104105"/>
    <n v="2650442"/>
    <n v="321206.94"/>
    <n v="23163.38"/>
    <n v="21309.291464133017"/>
    <n v="1854.0885358669848"/>
    <n v="1854.0885358669848"/>
    <n v="1854.0885358669848"/>
    <n v="30"/>
    <m/>
    <x v="10"/>
  </r>
  <r>
    <x v="0"/>
    <n v="3104105"/>
    <n v="2650443"/>
    <n v="303357.65999999997"/>
    <n v="34117.99"/>
    <n v="31467.388664133014"/>
    <n v="2650.6013358669843"/>
    <n v="2650.6013358669843"/>
    <n v="2650.6013358669843"/>
    <n v="30"/>
    <m/>
    <x v="10"/>
  </r>
  <r>
    <x v="0"/>
    <n v="3104105"/>
    <n v="2650444"/>
    <n v="374119.22"/>
    <n v="30974.09"/>
    <n v="28424.365464133014"/>
    <n v="2549.7245358669848"/>
    <n v="2549.7245358669848"/>
    <n v="2549.7245358669848"/>
    <n v="30"/>
    <m/>
    <x v="10"/>
  </r>
  <r>
    <x v="0"/>
    <n v="3104105"/>
    <n v="2650445"/>
    <n v="238384.25"/>
    <n v="26227.85"/>
    <n v="24214.269464133013"/>
    <n v="2013.5805358669845"/>
    <n v="2013.5805358669845"/>
    <n v="2013.5805358669845"/>
    <n v="30"/>
    <m/>
    <x v="10"/>
  </r>
  <r>
    <x v="0"/>
    <n v="3104105"/>
    <n v="2650446"/>
    <n v="190181"/>
    <n v="18800.82"/>
    <n v="17430.487464133013"/>
    <n v="1370.3325358669847"/>
    <n v="1370.3325358669847"/>
    <n v="1370.3325358669847"/>
    <n v="30"/>
    <m/>
    <x v="10"/>
  </r>
  <r>
    <x v="0"/>
    <n v="3104105"/>
    <n v="2650447"/>
    <n v="210707.5"/>
    <n v="30206.75"/>
    <n v="27864.890264133017"/>
    <n v="2341.8597358669845"/>
    <n v="2341.8597358669845"/>
    <n v="2341.8597358669845"/>
    <n v="30"/>
    <m/>
    <x v="10"/>
  </r>
  <r>
    <x v="0"/>
    <n v="3104105"/>
    <n v="2650448"/>
    <n v="188112"/>
    <n v="14954.82"/>
    <n v="13822.208264133014"/>
    <n v="1132.6117358669846"/>
    <n v="1132.6117358669846"/>
    <n v="1132.6117358669846"/>
    <n v="30"/>
    <m/>
    <x v="10"/>
  </r>
  <r>
    <x v="0"/>
    <n v="3104105"/>
    <n v="2650449"/>
    <n v="240973"/>
    <n v="27305"/>
    <n v="25204.253064133016"/>
    <n v="2100.7469358669846"/>
    <n v="2100.7469358669846"/>
    <n v="2100.7469358669846"/>
    <n v="30"/>
    <m/>
    <x v="10"/>
  </r>
  <r>
    <x v="0"/>
    <n v="3104105"/>
    <n v="2650450"/>
    <n v="269557.75"/>
    <n v="29657.38"/>
    <n v="27348.430664133015"/>
    <n v="2308.9493358669847"/>
    <n v="2308.9493358669847"/>
    <n v="2308.9493358669847"/>
    <n v="30"/>
    <m/>
    <x v="10"/>
  </r>
  <r>
    <x v="0"/>
    <n v="3104105"/>
    <n v="2650451"/>
    <n v="232020"/>
    <n v="19692.599999999999"/>
    <n v="18135.730664133014"/>
    <n v="1556.8693358669846"/>
    <n v="1556.8693358669846"/>
    <n v="1556.8693358669846"/>
    <n v="30"/>
    <m/>
    <x v="10"/>
  </r>
  <r>
    <x v="0"/>
    <n v="3104105"/>
    <n v="2650452"/>
    <n v="235283.75"/>
    <n v="11212.65"/>
    <n v="10364.632664133014"/>
    <n v="848.01733586698458"/>
    <n v="848.01733586698458"/>
    <n v="848.01733586698458"/>
    <n v="30"/>
    <m/>
    <x v="10"/>
  </r>
  <r>
    <x v="0"/>
    <n v="3104105"/>
    <n v="2650453"/>
    <n v="201676.25"/>
    <n v="11282.45"/>
    <n v="10427.148664133016"/>
    <n v="855.30133586698469"/>
    <n v="855.30133586698469"/>
    <n v="855.30133586698469"/>
    <n v="30"/>
    <m/>
    <x v="10"/>
  </r>
  <r>
    <x v="0"/>
    <n v="3104105"/>
    <n v="2650454"/>
    <n v="334729.75"/>
    <n v="47730.67"/>
    <n v="43972.087064133011"/>
    <n v="3758.5829358669848"/>
    <n v="3758.5829358669848"/>
    <n v="3758.5829358669848"/>
    <n v="30"/>
    <m/>
    <x v="10"/>
  </r>
  <r>
    <x v="0"/>
    <n v="3104105"/>
    <n v="2650455"/>
    <n v="357056"/>
    <n v="33912.76"/>
    <n v="31264.57866413302"/>
    <n v="2648.1813358669842"/>
    <n v="2648.1813358669842"/>
    <n v="2648.1813358669842"/>
    <n v="30"/>
    <m/>
    <x v="10"/>
  </r>
  <r>
    <x v="0"/>
    <n v="3104105"/>
    <n v="2650531"/>
    <n v="511011"/>
    <n v="-22050.06"/>
    <n v="-20222.720535866985"/>
    <n v="-1827.3394641330156"/>
    <n v="-1827.3394641330156"/>
    <n v="-1827.3394641330156"/>
    <n v="30"/>
    <m/>
    <x v="10"/>
  </r>
  <r>
    <x v="0"/>
    <n v="3104105"/>
    <n v="2653142"/>
    <n v="289558.40000000002"/>
    <n v="27040.49"/>
    <n v="24885.362264133018"/>
    <n v="2155.1277358669845"/>
    <n v="2155.1277358669845"/>
    <n v="2155.1277358669845"/>
    <n v="30"/>
    <m/>
    <x v="10"/>
  </r>
  <r>
    <x v="0"/>
    <n v="3104105"/>
    <n v="2653143"/>
    <n v="238939.2"/>
    <n v="24309.52"/>
    <n v="22452.038664133015"/>
    <n v="1857.4813358669846"/>
    <n v="1857.4813358669846"/>
    <n v="1857.4813358669846"/>
    <n v="30"/>
    <m/>
    <x v="10"/>
  </r>
  <r>
    <x v="0"/>
    <n v="3104105"/>
    <n v="2653144"/>
    <n v="281486.40000000002"/>
    <n v="2296.2199999999998"/>
    <n v="2208.2154641330153"/>
    <n v="88.004535866984597"/>
    <n v="88.004535866984597"/>
    <n v="88.004535866984597"/>
    <n v="30"/>
    <m/>
    <x v="10"/>
  </r>
  <r>
    <x v="0"/>
    <n v="3104105"/>
    <n v="2653145"/>
    <n v="304968.8"/>
    <n v="25119.599999999999"/>
    <n v="23209.630664133016"/>
    <n v="1909.9693358669847"/>
    <n v="1909.9693358669847"/>
    <n v="1909.9693358669847"/>
    <n v="30"/>
    <m/>
    <x v="10"/>
  </r>
  <r>
    <x v="0"/>
    <n v="3104105"/>
    <n v="2653146"/>
    <n v="260481.6"/>
    <n v="24224.2"/>
    <n v="22411.710664133017"/>
    <n v="1812.4893358669847"/>
    <n v="1812.4893358669847"/>
    <n v="1812.4893358669847"/>
    <n v="30"/>
    <m/>
    <x v="10"/>
  </r>
  <r>
    <x v="0"/>
    <n v="3104105"/>
    <n v="2653147"/>
    <n v="237670.8"/>
    <n v="15103.68"/>
    <n v="13947.562664133016"/>
    <n v="1156.1173358669846"/>
    <n v="1156.1173358669846"/>
    <n v="1156.1173358669846"/>
    <n v="30"/>
    <m/>
    <x v="10"/>
  </r>
  <r>
    <x v="0"/>
    <n v="3104105"/>
    <n v="2653148"/>
    <n v="308136"/>
    <n v="37024.69"/>
    <n v="34087.526264133019"/>
    <n v="2937.163735866985"/>
    <n v="2937.163735866985"/>
    <n v="2937.163735866985"/>
    <n v="30"/>
    <m/>
    <x v="10"/>
  </r>
  <r>
    <x v="0"/>
    <n v="3104105"/>
    <n v="2659418"/>
    <n v="248095.84"/>
    <n v="18615.02"/>
    <n v="17237.457064133017"/>
    <n v="1377.5629358669846"/>
    <n v="1377.5629358669846"/>
    <n v="1377.5629358669846"/>
    <n v="27"/>
    <m/>
    <x v="10"/>
  </r>
  <r>
    <x v="0"/>
    <n v="3104105"/>
    <n v="2659419"/>
    <n v="343143.16"/>
    <n v="21670.59"/>
    <n v="19994.743864133015"/>
    <n v="1675.8461358669845"/>
    <n v="1675.8461358669845"/>
    <n v="1675.8461358669845"/>
    <n v="27"/>
    <m/>
    <x v="10"/>
  </r>
  <r>
    <x v="0"/>
    <n v="3104105"/>
    <n v="2659420"/>
    <n v="340763.16"/>
    <n v="32209.69"/>
    <n v="29745.984664133015"/>
    <n v="2463.7053358669846"/>
    <n v="2463.7053358669846"/>
    <n v="2463.7053358669846"/>
    <n v="27"/>
    <m/>
    <x v="10"/>
  </r>
  <r>
    <x v="0"/>
    <n v="3104105"/>
    <n v="2659421"/>
    <n v="329891.36"/>
    <n v="35587.449999999997"/>
    <n v="32839.823064133016"/>
    <n v="2747.6269358669842"/>
    <n v="2747.6269358669842"/>
    <n v="2747.6269358669842"/>
    <n v="27"/>
    <m/>
    <x v="10"/>
  </r>
  <r>
    <x v="0"/>
    <n v="3104105"/>
    <n v="2659422"/>
    <n v="353011.96"/>
    <n v="34313.75"/>
    <n v="31652.143864133017"/>
    <n v="2661.6061358669849"/>
    <n v="2661.6061358669849"/>
    <n v="2661.6061358669849"/>
    <n v="27"/>
    <m/>
    <x v="10"/>
  </r>
  <r>
    <x v="0"/>
    <n v="3104105"/>
    <n v="2660872"/>
    <n v="265219"/>
    <n v="22187.07"/>
    <n v="20483.524664133016"/>
    <n v="1703.5453358669847"/>
    <n v="1703.5453358669847"/>
    <n v="1703.5453358669847"/>
    <n v="26"/>
    <m/>
    <x v="10"/>
  </r>
  <r>
    <x v="0"/>
    <n v="3104105"/>
    <n v="2660873"/>
    <n v="671276"/>
    <n v="54370.7"/>
    <n v="50076.378664133015"/>
    <n v="4294.3213358669846"/>
    <n v="4294.3213358669846"/>
    <n v="4294.3213358669846"/>
    <n v="26"/>
    <m/>
    <x v="10"/>
  </r>
  <r>
    <x v="0"/>
    <n v="3104105"/>
    <n v="2660874"/>
    <n v="398746"/>
    <n v="11938"/>
    <n v="11054.294664133016"/>
    <n v="883.70533586698457"/>
    <n v="883.70533586698457"/>
    <n v="883.70533586698457"/>
    <n v="26"/>
    <m/>
    <x v="10"/>
  </r>
  <r>
    <x v="0"/>
    <n v="3104105"/>
    <n v="2660875"/>
    <n v="343187"/>
    <n v="18403.2"/>
    <n v="16986.694664133018"/>
    <n v="1416.5053358669845"/>
    <n v="1416.5053358669845"/>
    <n v="1416.5053358669845"/>
    <n v="26"/>
    <m/>
    <x v="10"/>
  </r>
  <r>
    <x v="0"/>
    <n v="3104105"/>
    <n v="2660876"/>
    <n v="389995"/>
    <n v="38407.78"/>
    <n v="35394.892264133014"/>
    <n v="3012.8877358669847"/>
    <n v="3012.8877358669847"/>
    <n v="3012.8877358669847"/>
    <n v="26"/>
    <m/>
    <x v="10"/>
  </r>
  <r>
    <x v="0"/>
    <n v="3104105"/>
    <n v="2660877"/>
    <n v="262289.08"/>
    <n v="31975.5"/>
    <n v="29472.794664133016"/>
    <n v="2502.7053358669846"/>
    <n v="2502.7053358669846"/>
    <n v="2502.7053358669846"/>
    <n v="27"/>
    <m/>
    <x v="10"/>
  </r>
  <r>
    <x v="0"/>
    <n v="3104105"/>
    <n v="2660878"/>
    <n v="179916.79999999999"/>
    <n v="23566.73"/>
    <n v="21736.726264133016"/>
    <n v="1830.0037358669847"/>
    <n v="1830.0037358669847"/>
    <n v="1830.0037358669847"/>
    <n v="27"/>
    <m/>
    <x v="10"/>
  </r>
  <r>
    <x v="0"/>
    <n v="3104105"/>
    <n v="2660879"/>
    <n v="142558.12"/>
    <n v="5936.09"/>
    <n v="5518.3102641330152"/>
    <n v="417.77973586698465"/>
    <n v="417.77973586698465"/>
    <n v="417.77973586698465"/>
    <n v="27"/>
    <m/>
    <x v="10"/>
  </r>
  <r>
    <x v="0"/>
    <n v="3104105"/>
    <n v="2660880"/>
    <n v="201258.16"/>
    <n v="22971.65"/>
    <n v="21189.252664133015"/>
    <n v="1782.3973358669848"/>
    <n v="1782.3973358669848"/>
    <n v="1782.3973358669848"/>
    <n v="27"/>
    <m/>
    <x v="10"/>
  </r>
  <r>
    <x v="0"/>
    <n v="3104105"/>
    <n v="2660881"/>
    <n v="333347.20000000001"/>
    <n v="34129.56"/>
    <n v="31462.529864133012"/>
    <n v="2667.0301358669844"/>
    <n v="2667.0301358669844"/>
    <n v="2667.0301358669844"/>
    <n v="27"/>
    <m/>
    <x v="10"/>
  </r>
  <r>
    <x v="0"/>
    <n v="3104105"/>
    <n v="2660882"/>
    <n v="621602"/>
    <n v="40729.199999999997"/>
    <n v="37541.17466413301"/>
    <n v="3188.0253358669847"/>
    <n v="3188.0253358669847"/>
    <n v="3188.0253358669847"/>
    <n v="26"/>
    <m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5E262-5E4E-48A6-9EAE-12905C663277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K19" firstHeaderRow="0" firstDataRow="1" firstDataCol="1" rowPageCount="1" colPageCount="1"/>
  <pivotFields count="12">
    <pivotField axis="axisPage" numFmtId="14" showAll="0">
      <items count="2">
        <item x="0"/>
        <item t="default"/>
      </items>
    </pivotField>
    <pivotField showAll="0"/>
    <pivotField dataField="1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showAll="0"/>
    <pivotField dataField="1" showAll="0"/>
    <pivotField axis="axisRow" showAll="0" sortType="ascending">
      <items count="12">
        <item x="0"/>
        <item x="8"/>
        <item x="1"/>
        <item x="2"/>
        <item x="4"/>
        <item x="5"/>
        <item x="3"/>
        <item x="6"/>
        <item x="7"/>
        <item x="10"/>
        <item x="9"/>
        <item t="default"/>
      </items>
    </pivotField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0" hier="-1"/>
  </pageFields>
  <dataFields count="9">
    <dataField name="Count of Serial Num" fld="2" subtotal="count" baseField="11" baseItem="0"/>
    <dataField name="Average of Par Split" fld="10" subtotal="average" baseField="11" baseItem="9"/>
    <dataField name="Sum of Coin In" fld="3" baseField="0" baseItem="0" numFmtId="164"/>
    <dataField name="Sum of Gross Win" fld="4" baseField="0" baseItem="0" numFmtId="164"/>
    <dataField name="Sum of Cust. Split" fld="5" baseField="0" baseItem="0" numFmtId="164"/>
    <dataField name="Sum of IGT Split" fld="6" baseField="0" baseItem="0" numFmtId="164"/>
    <dataField name="Sum of Gross IGT Rev" fld="7" baseField="0" baseItem="0" numFmtId="164"/>
    <dataField name="Sum of Net IGT Rev" fld="8" baseField="0" baseItem="0" numFmtId="164"/>
    <dataField name="Sum of Machine Days" fld="9" baseField="0" baseItem="0" numFmtId="164"/>
  </dataFields>
  <formats count="5">
    <format dxfId="4">
      <pivotArea dataOnly="0" labelOnly="1" fieldPosition="0">
        <references count="1">
          <reference field="11" count="1">
            <x v="0"/>
          </reference>
        </references>
      </pivotArea>
    </format>
    <format dxfId="5">
      <pivotArea dataOnly="0" labelOnly="1" fieldPosition="0">
        <references count="1">
          <reference field="11" count="1">
            <x v="8"/>
          </reference>
        </references>
      </pivotArea>
    </format>
    <format dxfId="6">
      <pivotArea dataOnly="0" labelOnly="1" fieldPosition="0">
        <references count="1">
          <reference field="11" count="1">
            <x v="9"/>
          </reference>
        </references>
      </pivotArea>
    </format>
    <format dxfId="7">
      <pivotArea dataOnly="0" labelOnly="1" fieldPosition="0">
        <references count="1">
          <reference field="11" count="1">
            <x v="4"/>
          </reference>
        </references>
      </pivotArea>
    </format>
    <format dxfId="8">
      <pivotArea outline="0" collapsedLevelsAreSubtotals="1" fieldPosition="0">
        <references count="1">
          <reference field="4294967294" count="7" selected="0"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49B7-1C7B-4C63-A653-84B3ACE1C7E3}">
  <sheetPr>
    <tabColor rgb="FFFFFF00"/>
  </sheetPr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BF-D4E4-42E4-9661-4BD3982E3936}">
  <dimension ref="A2:P46"/>
  <sheetViews>
    <sheetView showGridLines="0" zoomScale="80" zoomScaleNormal="80" workbookViewId="0"/>
  </sheetViews>
  <sheetFormatPr defaultRowHeight="15"/>
  <cols>
    <col min="1" max="1" width="10.140625" customWidth="1"/>
    <col min="2" max="2" width="37.85546875" bestFit="1" customWidth="1"/>
    <col min="3" max="3" width="19.28515625" bestFit="1" customWidth="1"/>
    <col min="4" max="4" width="19.140625" bestFit="1" customWidth="1"/>
    <col min="5" max="5" width="15.28515625" bestFit="1" customWidth="1"/>
    <col min="6" max="6" width="17.28515625" bestFit="1" customWidth="1"/>
    <col min="7" max="7" width="17" bestFit="1" customWidth="1"/>
    <col min="8" max="8" width="15.7109375" bestFit="1" customWidth="1"/>
    <col min="9" max="9" width="20.85546875" bestFit="1" customWidth="1"/>
    <col min="10" max="10" width="19.140625" bestFit="1" customWidth="1"/>
    <col min="11" max="11" width="20.85546875" bestFit="1" customWidth="1"/>
    <col min="12" max="12" width="9.5703125" bestFit="1" customWidth="1"/>
    <col min="13" max="13" width="13" bestFit="1" customWidth="1"/>
    <col min="14" max="14" width="6.7109375" customWidth="1"/>
    <col min="15" max="15" width="8.42578125" style="3" bestFit="1" customWidth="1"/>
    <col min="16" max="16" width="12.28515625" style="3" bestFit="1" customWidth="1"/>
    <col min="17" max="54" width="9.5703125" bestFit="1" customWidth="1"/>
    <col min="55" max="149" width="10.5703125" bestFit="1" customWidth="1"/>
    <col min="150" max="662" width="11.5703125" bestFit="1" customWidth="1"/>
    <col min="663" max="666" width="13.28515625" bestFit="1" customWidth="1"/>
    <col min="667" max="667" width="12.7109375" bestFit="1" customWidth="1"/>
  </cols>
  <sheetData>
    <row r="2" spans="1:16">
      <c r="E2" s="27">
        <f t="shared" ref="E2:L2" si="0">E3/E19</f>
        <v>4.1185320147514033E-2</v>
      </c>
      <c r="F2" s="27">
        <f t="shared" si="0"/>
        <v>2.3564008240136033E-2</v>
      </c>
      <c r="G2" s="27">
        <f t="shared" si="0"/>
        <v>1.9172143820925341E-2</v>
      </c>
      <c r="H2" s="27">
        <f t="shared" si="0"/>
        <v>-1.6170324505935172E-2</v>
      </c>
      <c r="I2" s="27">
        <f t="shared" si="0"/>
        <v>-1.6170324505935172E-2</v>
      </c>
      <c r="J2" s="27">
        <f t="shared" si="0"/>
        <v>-1.6170324505935172E-2</v>
      </c>
      <c r="K2" s="27">
        <f t="shared" si="0"/>
        <v>-5.2678196820661043E-2</v>
      </c>
      <c r="L2" s="27">
        <f t="shared" si="0"/>
        <v>3.4680942784783036E-2</v>
      </c>
    </row>
    <row r="3" spans="1:16" ht="15.75" thickBot="1">
      <c r="B3" s="26" t="s">
        <v>0</v>
      </c>
      <c r="C3" s="23">
        <f t="shared" ref="C3:L3" si="1">C19-C45</f>
        <v>-28</v>
      </c>
      <c r="D3" s="23">
        <f t="shared" si="1"/>
        <v>5.1278842067237207E-2</v>
      </c>
      <c r="E3" s="23">
        <f t="shared" si="1"/>
        <v>7549555.0799998939</v>
      </c>
      <c r="F3" s="23">
        <f t="shared" si="1"/>
        <v>303777.01999999583</v>
      </c>
      <c r="G3" s="23">
        <f t="shared" si="1"/>
        <v>222932.33478749916</v>
      </c>
      <c r="H3" s="23">
        <f t="shared" si="1"/>
        <v>-20573.265687500127</v>
      </c>
      <c r="I3" s="23">
        <f t="shared" si="1"/>
        <v>-20573.265687500127</v>
      </c>
      <c r="J3" s="23">
        <f t="shared" si="1"/>
        <v>-20573.265687500127</v>
      </c>
      <c r="K3" s="23">
        <f t="shared" si="1"/>
        <v>-1130</v>
      </c>
      <c r="L3" s="49">
        <f t="shared" si="1"/>
        <v>2.0569694965657632</v>
      </c>
    </row>
    <row r="4" spans="1:16" ht="17.25">
      <c r="D4" s="13"/>
    </row>
    <row r="5" spans="1:16">
      <c r="B5" s="5" t="s">
        <v>1</v>
      </c>
      <c r="C5" t="s">
        <v>2</v>
      </c>
    </row>
    <row r="6" spans="1:16">
      <c r="J6" s="32">
        <f>GETPIVOTDATA("Sum of Net IGT Rev",$B$7)/GETPIVOTDATA("Sum of Machine Days",$B$7)</f>
        <v>59.31123353048811</v>
      </c>
    </row>
    <row r="7" spans="1:16">
      <c r="B7" s="5" t="s">
        <v>3</v>
      </c>
      <c r="C7" t="s">
        <v>4</v>
      </c>
      <c r="D7" t="s">
        <v>5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J7" t="s">
        <v>11</v>
      </c>
      <c r="K7" t="s">
        <v>12</v>
      </c>
      <c r="L7" s="9" t="s">
        <v>13</v>
      </c>
      <c r="M7" s="24" t="s">
        <v>0</v>
      </c>
    </row>
    <row r="8" spans="1:16">
      <c r="A8" t="b">
        <f t="shared" ref="A8:A18" si="2">B8=B34</f>
        <v>1</v>
      </c>
      <c r="B8" s="11" t="s">
        <v>14</v>
      </c>
      <c r="C8">
        <v>44</v>
      </c>
      <c r="D8">
        <v>0.2</v>
      </c>
      <c r="E8" s="7">
        <v>4803427.4399999995</v>
      </c>
      <c r="F8" s="7">
        <v>370685.5400000001</v>
      </c>
      <c r="G8" s="7">
        <v>296548.43199999997</v>
      </c>
      <c r="H8" s="7">
        <v>74137.107999999993</v>
      </c>
      <c r="I8" s="7">
        <v>74137.107999999993</v>
      </c>
      <c r="J8" s="7">
        <v>74137.107999999993</v>
      </c>
      <c r="K8" s="7">
        <v>1320</v>
      </c>
      <c r="L8" s="8">
        <f>J8/K8</f>
        <v>56.164475757575751</v>
      </c>
      <c r="M8" s="25">
        <f>L8-L34</f>
        <v>-1.109980532402929</v>
      </c>
      <c r="N8" t="s">
        <v>15</v>
      </c>
      <c r="O8" s="12"/>
    </row>
    <row r="9" spans="1:16" ht="17.25">
      <c r="A9" t="b">
        <f t="shared" si="2"/>
        <v>1</v>
      </c>
      <c r="B9" s="6" t="s">
        <v>16</v>
      </c>
      <c r="C9">
        <v>4</v>
      </c>
      <c r="D9">
        <v>0.10000000000000002</v>
      </c>
      <c r="E9" s="7">
        <v>157059.59999999998</v>
      </c>
      <c r="F9" s="7">
        <v>14008.389999999996</v>
      </c>
      <c r="G9" s="7">
        <v>12607.550999999996</v>
      </c>
      <c r="H9" s="7">
        <v>1400.8389999999997</v>
      </c>
      <c r="I9" s="7">
        <v>1400.8389999999997</v>
      </c>
      <c r="J9" s="7">
        <v>1400.8389999999997</v>
      </c>
      <c r="K9" s="7">
        <v>120</v>
      </c>
      <c r="L9" s="8">
        <f t="shared" ref="L9:L19" si="3">J9/K9</f>
        <v>11.67365833333333</v>
      </c>
      <c r="M9" s="25">
        <f t="shared" ref="M9:M18" si="4">L9-L35</f>
        <v>-0.8388497311827976</v>
      </c>
      <c r="O9" s="13"/>
      <c r="P9" s="14"/>
    </row>
    <row r="10" spans="1:16">
      <c r="A10" t="b">
        <f t="shared" si="2"/>
        <v>1</v>
      </c>
      <c r="B10" s="6" t="s">
        <v>17</v>
      </c>
      <c r="C10">
        <v>8</v>
      </c>
      <c r="D10">
        <v>7.8750000000000001E-2</v>
      </c>
      <c r="E10" s="7">
        <v>895044.5399999998</v>
      </c>
      <c r="F10" s="7">
        <v>78431.41</v>
      </c>
      <c r="G10" s="7">
        <v>72254.936462500016</v>
      </c>
      <c r="H10" s="7">
        <v>6176.4735375</v>
      </c>
      <c r="I10" s="7">
        <v>6176.4735375</v>
      </c>
      <c r="J10" s="7">
        <v>6176.4735375</v>
      </c>
      <c r="K10" s="7">
        <v>248</v>
      </c>
      <c r="L10" s="8">
        <f t="shared" si="3"/>
        <v>24.905135231854839</v>
      </c>
      <c r="M10" s="25">
        <f t="shared" si="4"/>
        <v>4.075960282258059</v>
      </c>
      <c r="N10" t="s">
        <v>18</v>
      </c>
    </row>
    <row r="11" spans="1:16">
      <c r="A11" t="b">
        <f t="shared" si="2"/>
        <v>1</v>
      </c>
      <c r="B11" s="6" t="s">
        <v>19</v>
      </c>
      <c r="C11">
        <v>9</v>
      </c>
      <c r="D11">
        <v>7.8750000000000001E-2</v>
      </c>
      <c r="E11" s="7">
        <v>360085.82</v>
      </c>
      <c r="F11" s="7">
        <v>47214.299999999996</v>
      </c>
      <c r="G11" s="7">
        <v>43496.173875</v>
      </c>
      <c r="H11" s="7">
        <v>3718.1261249999998</v>
      </c>
      <c r="I11" s="7">
        <v>3718.1261249999998</v>
      </c>
      <c r="J11" s="7">
        <v>3718.1261249999998</v>
      </c>
      <c r="K11" s="7">
        <v>270</v>
      </c>
      <c r="L11" s="8">
        <f t="shared" si="3"/>
        <v>13.770837499999999</v>
      </c>
      <c r="M11" s="25">
        <f t="shared" si="4"/>
        <v>11.11706129032258</v>
      </c>
      <c r="N11" t="s">
        <v>20</v>
      </c>
      <c r="O11" s="12"/>
    </row>
    <row r="12" spans="1:16" ht="17.25">
      <c r="A12" t="b">
        <f t="shared" si="2"/>
        <v>1</v>
      </c>
      <c r="B12" s="11" t="s">
        <v>21</v>
      </c>
      <c r="C12">
        <v>150</v>
      </c>
      <c r="D12">
        <v>0.1799999999999998</v>
      </c>
      <c r="E12" s="7">
        <v>28929477.629999992</v>
      </c>
      <c r="F12" s="7">
        <v>1314146.0100000002</v>
      </c>
      <c r="G12" s="7">
        <v>1077599.7281999998</v>
      </c>
      <c r="H12" s="7">
        <v>236546.28180000003</v>
      </c>
      <c r="I12" s="7">
        <v>236546.28180000003</v>
      </c>
      <c r="J12" s="7">
        <v>236546.28180000003</v>
      </c>
      <c r="K12" s="7">
        <v>4499</v>
      </c>
      <c r="L12" s="8">
        <f t="shared" si="3"/>
        <v>52.577524294287628</v>
      </c>
      <c r="M12" s="25">
        <f t="shared" si="4"/>
        <v>-8.061833561454371</v>
      </c>
      <c r="N12" t="s">
        <v>22</v>
      </c>
      <c r="O12" s="13"/>
      <c r="P12" s="14"/>
    </row>
    <row r="13" spans="1:16">
      <c r="A13" t="b">
        <f t="shared" si="2"/>
        <v>1</v>
      </c>
      <c r="B13" s="6" t="s">
        <v>23</v>
      </c>
      <c r="C13">
        <v>40</v>
      </c>
      <c r="D13">
        <v>0.15000000000000008</v>
      </c>
      <c r="E13" s="7">
        <v>15127229.390000001</v>
      </c>
      <c r="F13" s="7">
        <v>1001951.98</v>
      </c>
      <c r="G13" s="7">
        <v>852859.18299999984</v>
      </c>
      <c r="H13" s="7">
        <v>149092.79699999996</v>
      </c>
      <c r="I13" s="7">
        <v>149092.79699999996</v>
      </c>
      <c r="J13" s="7">
        <v>149092.79699999996</v>
      </c>
      <c r="K13" s="7">
        <v>1200</v>
      </c>
      <c r="L13" s="8">
        <f>J13/K13</f>
        <v>124.24399749999996</v>
      </c>
      <c r="M13" s="25">
        <f t="shared" si="4"/>
        <v>10.973170080645104</v>
      </c>
      <c r="N13" t="s">
        <v>18</v>
      </c>
    </row>
    <row r="14" spans="1:16">
      <c r="A14" t="b">
        <f t="shared" si="2"/>
        <v>1</v>
      </c>
      <c r="B14" s="6" t="s">
        <v>24</v>
      </c>
      <c r="C14">
        <v>2</v>
      </c>
      <c r="D14">
        <v>0</v>
      </c>
      <c r="E14" s="7">
        <v>0</v>
      </c>
      <c r="F14" s="7">
        <v>0</v>
      </c>
      <c r="G14" s="7">
        <v>0</v>
      </c>
      <c r="H14" s="7">
        <v>3300</v>
      </c>
      <c r="I14" s="7">
        <v>3300</v>
      </c>
      <c r="J14" s="7">
        <v>3300</v>
      </c>
      <c r="K14" s="7">
        <v>60</v>
      </c>
      <c r="L14" s="8">
        <f t="shared" si="3"/>
        <v>55</v>
      </c>
      <c r="M14" s="25">
        <f t="shared" si="4"/>
        <v>11.25</v>
      </c>
      <c r="N14" t="s">
        <v>25</v>
      </c>
    </row>
    <row r="15" spans="1:16">
      <c r="A15" t="b">
        <f t="shared" si="2"/>
        <v>1</v>
      </c>
      <c r="B15" s="6" t="s">
        <v>26</v>
      </c>
      <c r="C15">
        <v>6</v>
      </c>
      <c r="D15">
        <v>9.9999999999999992E-2</v>
      </c>
      <c r="E15" s="7">
        <v>501661.2</v>
      </c>
      <c r="F15" s="7">
        <v>26743.100000000006</v>
      </c>
      <c r="G15" s="7">
        <v>24068.790000000005</v>
      </c>
      <c r="H15" s="7">
        <v>2674.3100000000004</v>
      </c>
      <c r="I15" s="7">
        <v>2674.3100000000004</v>
      </c>
      <c r="J15" s="7">
        <v>2674.3100000000004</v>
      </c>
      <c r="K15" s="7">
        <v>180</v>
      </c>
      <c r="L15" s="8">
        <f t="shared" si="3"/>
        <v>14.85727777777778</v>
      </c>
      <c r="M15" s="25">
        <f t="shared" si="4"/>
        <v>2.6582455197132635</v>
      </c>
    </row>
    <row r="16" spans="1:16">
      <c r="A16" t="b">
        <f t="shared" si="2"/>
        <v>1</v>
      </c>
      <c r="B16" s="11" t="s">
        <v>27</v>
      </c>
      <c r="C16">
        <v>42</v>
      </c>
      <c r="D16">
        <v>0.20000000000000004</v>
      </c>
      <c r="E16" s="7">
        <v>274851</v>
      </c>
      <c r="F16" s="7">
        <v>72034.24000000002</v>
      </c>
      <c r="G16" s="7">
        <v>61904.544000000002</v>
      </c>
      <c r="H16" s="7">
        <v>15476.136</v>
      </c>
      <c r="I16" s="7">
        <v>15476.136</v>
      </c>
      <c r="J16" s="7">
        <v>15476.136</v>
      </c>
      <c r="K16" s="7">
        <v>1260</v>
      </c>
      <c r="L16" s="8">
        <f t="shared" si="3"/>
        <v>12.282647619047619</v>
      </c>
      <c r="M16" s="25">
        <f t="shared" si="4"/>
        <v>-0.50267342549923555</v>
      </c>
    </row>
    <row r="17" spans="1:14">
      <c r="A17" t="b">
        <f t="shared" si="2"/>
        <v>1</v>
      </c>
      <c r="B17" s="11" t="s">
        <v>28</v>
      </c>
      <c r="C17">
        <v>421</v>
      </c>
      <c r="E17" s="7">
        <v>131497175.09999989</v>
      </c>
      <c r="F17" s="7">
        <v>9912007.6699999981</v>
      </c>
      <c r="G17" s="7">
        <v>9137679.0299999975</v>
      </c>
      <c r="H17" s="7">
        <v>774328.64000000013</v>
      </c>
      <c r="I17" s="7">
        <v>774328.64000000013</v>
      </c>
      <c r="J17" s="7">
        <v>774328.64000000013</v>
      </c>
      <c r="K17" s="7">
        <v>12144</v>
      </c>
      <c r="L17" s="8">
        <f t="shared" si="3"/>
        <v>63.762239789196322</v>
      </c>
      <c r="M17" s="25">
        <f t="shared" si="4"/>
        <v>4.8187208724301556</v>
      </c>
      <c r="N17" t="s">
        <v>29</v>
      </c>
    </row>
    <row r="18" spans="1:14">
      <c r="A18" t="b">
        <f t="shared" si="2"/>
        <v>1</v>
      </c>
      <c r="B18" s="6" t="s">
        <v>30</v>
      </c>
      <c r="C18">
        <v>5</v>
      </c>
      <c r="D18">
        <v>0.10000000000000002</v>
      </c>
      <c r="E18" s="7">
        <v>760930</v>
      </c>
      <c r="F18" s="7">
        <v>54345.590000000011</v>
      </c>
      <c r="G18" s="7">
        <v>48911.03100000001</v>
      </c>
      <c r="H18" s="7">
        <v>5434.5590000000011</v>
      </c>
      <c r="I18" s="7">
        <v>5434.5590000000011</v>
      </c>
      <c r="J18" s="7">
        <v>5434.5590000000011</v>
      </c>
      <c r="K18" s="7">
        <v>150</v>
      </c>
      <c r="L18" s="8">
        <f t="shared" si="3"/>
        <v>36.230393333333339</v>
      </c>
      <c r="M18" s="25">
        <f t="shared" si="4"/>
        <v>1.1687223655913996</v>
      </c>
    </row>
    <row r="19" spans="1:14" ht="15.75" thickBot="1">
      <c r="B19" s="6" t="s">
        <v>31</v>
      </c>
      <c r="C19">
        <v>731</v>
      </c>
      <c r="D19">
        <v>0.17109274193548396</v>
      </c>
      <c r="E19" s="7">
        <v>183306941.71999994</v>
      </c>
      <c r="F19" s="7">
        <v>12891568.229999997</v>
      </c>
      <c r="G19" s="7">
        <v>11627929.399537509</v>
      </c>
      <c r="H19" s="7">
        <v>1272285.2704625004</v>
      </c>
      <c r="I19" s="7">
        <v>1272285.2704625004</v>
      </c>
      <c r="J19" s="7">
        <v>1272285.2704625004</v>
      </c>
      <c r="K19" s="7">
        <v>21451</v>
      </c>
      <c r="L19" s="42">
        <f t="shared" si="3"/>
        <v>59.31123353048811</v>
      </c>
      <c r="M19" s="43">
        <f>L19-L45</f>
        <v>2.0569694965657632</v>
      </c>
    </row>
    <row r="20" spans="1:14">
      <c r="L20" s="8"/>
    </row>
    <row r="21" spans="1:14">
      <c r="L21" s="8"/>
    </row>
    <row r="22" spans="1:14">
      <c r="L22" s="8"/>
      <c r="N22" s="16"/>
    </row>
    <row r="23" spans="1:14">
      <c r="L23" s="8"/>
    </row>
    <row r="24" spans="1:14">
      <c r="L24" s="8"/>
    </row>
    <row r="25" spans="1:14">
      <c r="J25" s="7"/>
      <c r="L25" s="8"/>
      <c r="N25" s="15"/>
    </row>
    <row r="26" spans="1:14">
      <c r="J26" s="7"/>
      <c r="L26" s="8"/>
      <c r="N26" s="15"/>
    </row>
    <row r="27" spans="1:14">
      <c r="J27" s="7"/>
      <c r="N27" s="15"/>
    </row>
    <row r="28" spans="1:14">
      <c r="J28" s="7"/>
      <c r="N28" s="15"/>
    </row>
    <row r="29" spans="1:14">
      <c r="J29" s="7"/>
      <c r="N29" s="15"/>
    </row>
    <row r="30" spans="1:14">
      <c r="J30" s="7"/>
      <c r="N30" s="15"/>
    </row>
    <row r="31" spans="1:14">
      <c r="J31" s="7"/>
      <c r="N31" s="15"/>
    </row>
    <row r="32" spans="1:14">
      <c r="N32" s="15"/>
    </row>
    <row r="33" spans="2:16" ht="15.75" thickBot="1">
      <c r="B33" s="19" t="s">
        <v>3</v>
      </c>
      <c r="C33" s="19" t="s">
        <v>4</v>
      </c>
      <c r="D33" s="19" t="s">
        <v>5</v>
      </c>
      <c r="E33" s="19" t="s">
        <v>6</v>
      </c>
      <c r="F33" s="19" t="s">
        <v>7</v>
      </c>
      <c r="G33" s="19" t="s">
        <v>8</v>
      </c>
      <c r="H33" s="19" t="s">
        <v>9</v>
      </c>
      <c r="I33" s="19" t="s">
        <v>10</v>
      </c>
      <c r="J33" s="19" t="s">
        <v>11</v>
      </c>
      <c r="K33" s="19" t="s">
        <v>12</v>
      </c>
      <c r="L33" s="9" t="s">
        <v>13</v>
      </c>
      <c r="M33" s="29" t="s">
        <v>32</v>
      </c>
      <c r="N33" s="24" t="s">
        <v>0</v>
      </c>
      <c r="O33" s="24" t="s">
        <v>33</v>
      </c>
    </row>
    <row r="34" spans="2:16">
      <c r="B34" s="11" t="s">
        <v>14</v>
      </c>
      <c r="C34">
        <v>54</v>
      </c>
      <c r="D34">
        <v>0.19999999999999987</v>
      </c>
      <c r="E34" s="7">
        <v>5642128.1399999997</v>
      </c>
      <c r="F34" s="7">
        <v>402925.8</v>
      </c>
      <c r="G34" s="7">
        <v>332566.25599999999</v>
      </c>
      <c r="H34" s="7">
        <v>80585.16</v>
      </c>
      <c r="I34" s="7">
        <v>80585.16</v>
      </c>
      <c r="J34" s="7">
        <v>80585.16</v>
      </c>
      <c r="K34" s="7">
        <v>1407</v>
      </c>
      <c r="L34" s="8">
        <v>57.27445628997868</v>
      </c>
      <c r="M34" s="30">
        <f>VLOOKUP(B34,$B$3:$C$23,2,0)</f>
        <v>44</v>
      </c>
      <c r="N34" s="28">
        <f>+M34-C34</f>
        <v>-10</v>
      </c>
      <c r="O34" s="33">
        <f>N34/C34</f>
        <v>-0.18518518518518517</v>
      </c>
    </row>
    <row r="35" spans="2:16">
      <c r="B35" s="6" t="s">
        <v>16</v>
      </c>
      <c r="C35">
        <v>4</v>
      </c>
      <c r="D35">
        <v>0.1</v>
      </c>
      <c r="E35" s="7">
        <v>169908.6</v>
      </c>
      <c r="F35" s="7">
        <v>15515.509999999998</v>
      </c>
      <c r="G35" s="7">
        <v>13963.958999999999</v>
      </c>
      <c r="H35" s="7">
        <v>1551.5509999999999</v>
      </c>
      <c r="I35" s="7">
        <v>1551.5509999999999</v>
      </c>
      <c r="J35" s="7">
        <v>1551.5509999999999</v>
      </c>
      <c r="K35" s="7">
        <v>124</v>
      </c>
      <c r="L35" s="8">
        <v>12.512508064516128</v>
      </c>
      <c r="M35" s="30">
        <f>VLOOKUP(B35,$B$3:$C$23,2,0)</f>
        <v>4</v>
      </c>
      <c r="N35" s="28">
        <f t="shared" ref="N35:N42" si="5">+M35-C35</f>
        <v>0</v>
      </c>
      <c r="O35" s="33">
        <f t="shared" ref="O35:O43" si="6">N35/C35</f>
        <v>0</v>
      </c>
    </row>
    <row r="36" spans="2:16">
      <c r="B36" s="6" t="s">
        <v>17</v>
      </c>
      <c r="C36">
        <v>8</v>
      </c>
      <c r="D36">
        <v>7.8750000000000001E-2</v>
      </c>
      <c r="E36" s="7">
        <v>871583.66000000015</v>
      </c>
      <c r="F36" s="7">
        <v>65595.37000000001</v>
      </c>
      <c r="G36" s="7">
        <v>60429.734612500004</v>
      </c>
      <c r="H36" s="7">
        <v>5165.6353875000013</v>
      </c>
      <c r="I36" s="7">
        <v>5165.6353875000013</v>
      </c>
      <c r="J36" s="7">
        <v>5165.6353875000013</v>
      </c>
      <c r="K36" s="7">
        <v>248</v>
      </c>
      <c r="L36" s="8">
        <v>20.82917494959678</v>
      </c>
      <c r="M36" s="30">
        <f t="shared" ref="M36:M42" si="7">VLOOKUP(B36,$B$3:$C$23,2,0)</f>
        <v>8</v>
      </c>
      <c r="N36" s="28">
        <f>+M36-C36</f>
        <v>0</v>
      </c>
      <c r="O36" s="33">
        <f t="shared" si="6"/>
        <v>0</v>
      </c>
    </row>
    <row r="37" spans="2:16">
      <c r="B37" s="6" t="s">
        <v>19</v>
      </c>
      <c r="C37">
        <v>9</v>
      </c>
      <c r="D37">
        <v>7.8750000000000001E-2</v>
      </c>
      <c r="E37" s="7">
        <v>323901.77</v>
      </c>
      <c r="F37" s="7">
        <v>9401.9500000000007</v>
      </c>
      <c r="G37" s="7">
        <v>20419.7181375</v>
      </c>
      <c r="H37" s="7">
        <v>740.40356250000002</v>
      </c>
      <c r="I37" s="7">
        <v>740.40356250000002</v>
      </c>
      <c r="J37" s="7">
        <v>740.40356250000002</v>
      </c>
      <c r="K37" s="7">
        <v>279</v>
      </c>
      <c r="L37" s="8">
        <v>2.6537762096774196</v>
      </c>
      <c r="M37" s="30">
        <f t="shared" si="7"/>
        <v>9</v>
      </c>
      <c r="N37" s="28">
        <f t="shared" si="5"/>
        <v>0</v>
      </c>
      <c r="O37" s="33">
        <f t="shared" si="6"/>
        <v>0</v>
      </c>
    </row>
    <row r="38" spans="2:16">
      <c r="B38" s="11" t="s">
        <v>21</v>
      </c>
      <c r="C38">
        <v>169</v>
      </c>
      <c r="D38">
        <v>0.17999999999999977</v>
      </c>
      <c r="E38" s="7">
        <v>28877064.810000002</v>
      </c>
      <c r="F38" s="7">
        <v>1545966.7399999998</v>
      </c>
      <c r="G38" s="7">
        <v>1296397.9829999993</v>
      </c>
      <c r="H38" s="7">
        <v>278274.01320000004</v>
      </c>
      <c r="I38" s="7">
        <v>278274.01320000004</v>
      </c>
      <c r="J38" s="7">
        <v>278274.01320000004</v>
      </c>
      <c r="K38" s="7">
        <v>4589</v>
      </c>
      <c r="L38" s="8">
        <v>60.639357855741999</v>
      </c>
      <c r="M38" s="30">
        <f t="shared" si="7"/>
        <v>150</v>
      </c>
      <c r="N38" s="28">
        <f t="shared" si="5"/>
        <v>-19</v>
      </c>
      <c r="O38" s="33">
        <f t="shared" si="6"/>
        <v>-0.11242603550295859</v>
      </c>
    </row>
    <row r="39" spans="2:16">
      <c r="B39" s="6" t="s">
        <v>23</v>
      </c>
      <c r="C39">
        <v>40</v>
      </c>
      <c r="D39">
        <v>0.15000000000000008</v>
      </c>
      <c r="E39" s="7">
        <v>14775808.809999999</v>
      </c>
      <c r="F39" s="7">
        <v>944638.84000000008</v>
      </c>
      <c r="G39" s="7">
        <v>827722.30100000009</v>
      </c>
      <c r="H39" s="7">
        <v>140455.82600000003</v>
      </c>
      <c r="I39" s="7">
        <v>140455.82600000003</v>
      </c>
      <c r="J39" s="7">
        <v>140455.82600000003</v>
      </c>
      <c r="K39" s="7">
        <v>1240</v>
      </c>
      <c r="L39" s="47">
        <v>113.27082741935486</v>
      </c>
      <c r="M39" s="30">
        <f t="shared" si="7"/>
        <v>40</v>
      </c>
      <c r="N39" s="28">
        <f>+M39-C39</f>
        <v>0</v>
      </c>
      <c r="O39" s="33">
        <f t="shared" si="6"/>
        <v>0</v>
      </c>
      <c r="P39" s="48"/>
    </row>
    <row r="40" spans="2:16">
      <c r="B40" s="6" t="s">
        <v>24</v>
      </c>
      <c r="C40">
        <v>16</v>
      </c>
      <c r="D40">
        <v>0</v>
      </c>
      <c r="E40" s="7">
        <v>0</v>
      </c>
      <c r="F40" s="7">
        <v>0</v>
      </c>
      <c r="G40" s="7">
        <v>0</v>
      </c>
      <c r="H40" s="7">
        <v>21700</v>
      </c>
      <c r="I40" s="7">
        <v>21700</v>
      </c>
      <c r="J40" s="7">
        <v>21700</v>
      </c>
      <c r="K40" s="7">
        <v>496</v>
      </c>
      <c r="L40" s="47">
        <v>43.75</v>
      </c>
      <c r="M40" s="30">
        <f t="shared" si="7"/>
        <v>2</v>
      </c>
      <c r="N40" s="28">
        <f t="shared" si="5"/>
        <v>-14</v>
      </c>
      <c r="O40" s="33">
        <f>N40/C40</f>
        <v>-0.875</v>
      </c>
      <c r="P40" s="48"/>
    </row>
    <row r="41" spans="2:16">
      <c r="B41" s="6" t="s">
        <v>26</v>
      </c>
      <c r="C41">
        <v>6</v>
      </c>
      <c r="D41">
        <v>9.9999999999999992E-2</v>
      </c>
      <c r="E41" s="7">
        <v>524117.2</v>
      </c>
      <c r="F41" s="7">
        <v>22690.190000000002</v>
      </c>
      <c r="G41" s="7">
        <v>26518.370000000017</v>
      </c>
      <c r="H41" s="7">
        <v>2269.02</v>
      </c>
      <c r="I41" s="7">
        <v>2269.02</v>
      </c>
      <c r="J41" s="7">
        <v>2269.02</v>
      </c>
      <c r="K41" s="7">
        <v>186</v>
      </c>
      <c r="L41" s="47">
        <v>12.199032258064516</v>
      </c>
      <c r="M41" s="30">
        <f t="shared" ref="M41" si="8">VLOOKUP(B41,$B$3:$C$23,2,0)</f>
        <v>6</v>
      </c>
      <c r="N41" s="28">
        <f t="shared" ref="N41" si="9">+M41-C41</f>
        <v>0</v>
      </c>
      <c r="O41" s="33">
        <f t="shared" ref="O41" si="10">N41/C41</f>
        <v>0</v>
      </c>
      <c r="P41" s="48"/>
    </row>
    <row r="42" spans="2:16">
      <c r="B42" s="11" t="s">
        <v>27</v>
      </c>
      <c r="C42">
        <v>42</v>
      </c>
      <c r="D42">
        <v>0.20000000000000004</v>
      </c>
      <c r="E42" s="7">
        <v>267528</v>
      </c>
      <c r="F42" s="7">
        <v>75193.58</v>
      </c>
      <c r="G42" s="7">
        <v>66585.952000000019</v>
      </c>
      <c r="H42" s="7">
        <v>16646.488000000005</v>
      </c>
      <c r="I42" s="7">
        <v>16646.488000000005</v>
      </c>
      <c r="J42" s="7">
        <v>16646.488000000005</v>
      </c>
      <c r="K42" s="7">
        <v>1302</v>
      </c>
      <c r="L42" s="8">
        <v>12.785321044546855</v>
      </c>
      <c r="M42" s="30">
        <f t="shared" si="7"/>
        <v>42</v>
      </c>
      <c r="N42" s="28">
        <f t="shared" si="5"/>
        <v>0</v>
      </c>
      <c r="O42" s="33">
        <f t="shared" si="6"/>
        <v>0</v>
      </c>
    </row>
    <row r="43" spans="2:16">
      <c r="B43" s="11" t="s">
        <v>28</v>
      </c>
      <c r="C43">
        <v>406</v>
      </c>
      <c r="D43">
        <v>7.9999999999999169E-2</v>
      </c>
      <c r="E43" s="7">
        <v>123607488.14999998</v>
      </c>
      <c r="F43" s="7">
        <v>9451517.6399999969</v>
      </c>
      <c r="G43" s="7">
        <v>8711481.7600000016</v>
      </c>
      <c r="H43" s="7">
        <v>740035.87999999919</v>
      </c>
      <c r="I43" s="7">
        <v>740035.87999999919</v>
      </c>
      <c r="J43" s="7">
        <v>740035.87999999919</v>
      </c>
      <c r="K43" s="7">
        <v>12555</v>
      </c>
      <c r="L43" s="8">
        <v>58.943518916766166</v>
      </c>
      <c r="M43" s="30">
        <f>VLOOKUP(B43,$B$3:$C$23,2,0)</f>
        <v>421</v>
      </c>
      <c r="N43" s="28">
        <f>+M43-C43</f>
        <v>15</v>
      </c>
      <c r="O43" s="33">
        <f t="shared" si="6"/>
        <v>3.6945812807881777E-2</v>
      </c>
    </row>
    <row r="44" spans="2:16">
      <c r="B44" s="6" t="s">
        <v>30</v>
      </c>
      <c r="C44">
        <v>5</v>
      </c>
      <c r="D44">
        <v>0.1</v>
      </c>
      <c r="E44" s="7">
        <v>697857.5</v>
      </c>
      <c r="F44" s="7">
        <v>54345.590000000011</v>
      </c>
      <c r="G44" s="7">
        <v>48911.03100000001</v>
      </c>
      <c r="H44" s="7">
        <v>5434.5590000000011</v>
      </c>
      <c r="I44" s="7">
        <v>5434.5590000000011</v>
      </c>
      <c r="J44" s="7">
        <v>5434.5590000000011</v>
      </c>
      <c r="K44" s="7">
        <v>155</v>
      </c>
      <c r="L44" s="8">
        <v>35.061670967741939</v>
      </c>
      <c r="M44" s="30">
        <f>VLOOKUP(B44,$B$3:$C$23,2,0)</f>
        <v>5</v>
      </c>
      <c r="N44" s="28">
        <f>+M44-C44</f>
        <v>0</v>
      </c>
      <c r="O44" s="33">
        <f>N44/C44</f>
        <v>0</v>
      </c>
    </row>
    <row r="45" spans="2:16" ht="15.75" thickBot="1">
      <c r="B45" s="18" t="s">
        <v>31</v>
      </c>
      <c r="C45" s="22">
        <v>759</v>
      </c>
      <c r="D45" s="19">
        <v>0.11981389986824675</v>
      </c>
      <c r="E45" s="20">
        <v>175757386.64000005</v>
      </c>
      <c r="F45" s="20">
        <v>12587791.210000001</v>
      </c>
      <c r="G45" s="20">
        <v>11404997.06475001</v>
      </c>
      <c r="H45" s="20">
        <v>1292858.5361500005</v>
      </c>
      <c r="I45" s="20">
        <v>1292858.5361500005</v>
      </c>
      <c r="J45" s="20">
        <v>1292858.5361500005</v>
      </c>
      <c r="K45" s="22">
        <v>22581</v>
      </c>
      <c r="L45" s="21">
        <v>57.254264033922347</v>
      </c>
      <c r="M45" s="30"/>
      <c r="N45" s="28"/>
      <c r="O45" s="33"/>
    </row>
    <row r="46" spans="2:16">
      <c r="E46" s="17"/>
      <c r="F46" s="17"/>
      <c r="G46" s="17"/>
      <c r="H46" s="17"/>
      <c r="I46" s="17"/>
      <c r="J46" s="17"/>
      <c r="K46" s="17"/>
      <c r="M46" s="31"/>
    </row>
  </sheetData>
  <phoneticPr fontId="26" type="noConversion"/>
  <conditionalFormatting sqref="A8:A23">
    <cfRule type="containsText" dxfId="3" priority="4" operator="containsText" text="False">
      <formula>NOT(ISERROR(SEARCH("False",A8)))</formula>
    </cfRule>
  </conditionalFormatting>
  <conditionalFormatting sqref="E2:L2 N34:O45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2548-0A5A-4000-A786-977962F6BC5F}">
  <dimension ref="B2:P1208"/>
  <sheetViews>
    <sheetView tabSelected="1" zoomScale="80" zoomScaleNormal="80" workbookViewId="0">
      <pane ySplit="2" topLeftCell="A3" activePane="bottomLeft" state="frozen"/>
      <selection pane="bottomLeft" activeCell="H5" sqref="H5"/>
    </sheetView>
  </sheetViews>
  <sheetFormatPr defaultRowHeight="15"/>
  <cols>
    <col min="1" max="1" width="2.85546875" customWidth="1"/>
    <col min="2" max="2" width="18.140625" bestFit="1" customWidth="1"/>
    <col min="3" max="3" width="11.140625" bestFit="1" customWidth="1"/>
    <col min="4" max="4" width="10.7109375" bestFit="1" customWidth="1"/>
    <col min="5" max="5" width="13.85546875" bestFit="1" customWidth="1"/>
    <col min="6" max="6" width="14.5703125" bestFit="1" customWidth="1"/>
    <col min="7" max="7" width="14.28515625" bestFit="1" customWidth="1"/>
    <col min="8" max="8" width="12.140625" bestFit="1" customWidth="1"/>
    <col min="9" max="9" width="18.140625" bestFit="1" customWidth="1"/>
    <col min="10" max="10" width="16.28515625" bestFit="1" customWidth="1"/>
    <col min="11" max="11" width="16.5703125" bestFit="1" customWidth="1"/>
    <col min="12" max="12" width="11.42578125" customWidth="1"/>
    <col min="13" max="13" width="36.28515625" bestFit="1" customWidth="1"/>
    <col min="14" max="14" width="2.7109375" customWidth="1"/>
    <col min="15" max="15" width="39.42578125" bestFit="1" customWidth="1"/>
    <col min="16" max="16" width="33.140625" bestFit="1" customWidth="1"/>
  </cols>
  <sheetData>
    <row r="2" spans="2:16" ht="15.75" thickBot="1">
      <c r="B2" s="38" t="s">
        <v>1</v>
      </c>
      <c r="C2" s="38" t="s">
        <v>34</v>
      </c>
      <c r="D2" s="38" t="s">
        <v>35</v>
      </c>
      <c r="E2" s="39" t="s">
        <v>36</v>
      </c>
      <c r="F2" s="39" t="s">
        <v>37</v>
      </c>
      <c r="G2" s="39" t="s">
        <v>38</v>
      </c>
      <c r="H2" s="39" t="s">
        <v>39</v>
      </c>
      <c r="I2" s="40" t="s">
        <v>40</v>
      </c>
      <c r="J2" s="40" t="s">
        <v>41</v>
      </c>
      <c r="K2" s="38" t="s">
        <v>42</v>
      </c>
      <c r="L2" s="41" t="s">
        <v>43</v>
      </c>
      <c r="M2" s="38" t="s">
        <v>44</v>
      </c>
      <c r="O2" s="34" t="s">
        <v>45</v>
      </c>
      <c r="P2" s="34" t="s">
        <v>46</v>
      </c>
    </row>
    <row r="3" spans="2:16">
      <c r="B3" s="2">
        <v>45991</v>
      </c>
      <c r="C3" s="6">
        <v>3106723</v>
      </c>
      <c r="D3">
        <v>2109718</v>
      </c>
      <c r="E3" s="3">
        <v>139017.4</v>
      </c>
      <c r="F3" s="3">
        <v>11807.75</v>
      </c>
      <c r="G3" s="3">
        <v>9446.2000000000007</v>
      </c>
      <c r="H3" s="10">
        <v>2361.5500000000002</v>
      </c>
      <c r="I3" s="10">
        <f>H3</f>
        <v>2361.5500000000002</v>
      </c>
      <c r="J3" s="10">
        <f t="shared" ref="J3" si="0">I3</f>
        <v>2361.5500000000002</v>
      </c>
      <c r="K3">
        <v>30</v>
      </c>
      <c r="L3">
        <v>0.2</v>
      </c>
      <c r="M3" t="str">
        <f>VLOOKUP(C3,Lookup!B:C,2,0)</f>
        <v>7th Street Casino</v>
      </c>
    </row>
    <row r="4" spans="2:16">
      <c r="B4" s="50">
        <f>B3</f>
        <v>45991</v>
      </c>
      <c r="C4" s="6">
        <v>3106723</v>
      </c>
      <c r="D4">
        <v>2109719</v>
      </c>
      <c r="E4" s="3">
        <v>122923</v>
      </c>
      <c r="F4" s="3">
        <v>8294.5399999999936</v>
      </c>
      <c r="G4" s="3">
        <v>6635.6319999999951</v>
      </c>
      <c r="H4" s="10">
        <v>1658.9079999999988</v>
      </c>
      <c r="I4" s="10">
        <f t="shared" ref="I4:I67" si="1">H4</f>
        <v>1658.9079999999988</v>
      </c>
      <c r="J4" s="10">
        <f t="shared" ref="J4:J46" si="2">I4</f>
        <v>1658.9079999999988</v>
      </c>
      <c r="K4">
        <v>30</v>
      </c>
      <c r="L4">
        <v>0.2</v>
      </c>
      <c r="M4" t="str">
        <f>VLOOKUP(C4,Lookup!B:C,2,0)</f>
        <v>7th Street Casino</v>
      </c>
    </row>
    <row r="5" spans="2:16">
      <c r="B5" s="50">
        <f t="shared" ref="B5:B47" si="3">B4</f>
        <v>45991</v>
      </c>
      <c r="C5" s="6">
        <v>3106723</v>
      </c>
      <c r="D5">
        <v>2109720</v>
      </c>
      <c r="E5" s="3">
        <v>78510.8</v>
      </c>
      <c r="F5" s="3">
        <v>3946.9400000000023</v>
      </c>
      <c r="G5" s="3">
        <v>3157.552000000002</v>
      </c>
      <c r="H5" s="10">
        <v>789.38800000000049</v>
      </c>
      <c r="I5" s="10">
        <f t="shared" si="1"/>
        <v>789.38800000000049</v>
      </c>
      <c r="J5" s="10">
        <f t="shared" si="2"/>
        <v>789.38800000000049</v>
      </c>
      <c r="K5">
        <v>30</v>
      </c>
      <c r="L5">
        <v>0.2</v>
      </c>
      <c r="M5" t="str">
        <f>VLOOKUP(C5,Lookup!B:C,2,0)</f>
        <v>7th Street Casino</v>
      </c>
    </row>
    <row r="6" spans="2:16">
      <c r="B6" s="50">
        <f t="shared" si="3"/>
        <v>45991</v>
      </c>
      <c r="C6" s="6">
        <v>3106723</v>
      </c>
      <c r="D6">
        <v>2109721</v>
      </c>
      <c r="E6" s="3">
        <v>81888</v>
      </c>
      <c r="F6" s="3">
        <v>3669.0600000000049</v>
      </c>
      <c r="G6" s="3">
        <v>2935.2480000000041</v>
      </c>
      <c r="H6" s="10">
        <v>733.81200000000104</v>
      </c>
      <c r="I6" s="10">
        <f t="shared" si="1"/>
        <v>733.81200000000104</v>
      </c>
      <c r="J6" s="10">
        <f t="shared" si="2"/>
        <v>733.81200000000104</v>
      </c>
      <c r="K6">
        <v>30</v>
      </c>
      <c r="L6">
        <v>0.2</v>
      </c>
      <c r="M6" t="str">
        <f>VLOOKUP(C6,Lookup!B:C,2,0)</f>
        <v>7th Street Casino</v>
      </c>
    </row>
    <row r="7" spans="2:16">
      <c r="B7" s="50">
        <f t="shared" si="3"/>
        <v>45991</v>
      </c>
      <c r="C7" s="6">
        <v>3106723</v>
      </c>
      <c r="D7">
        <v>2185100</v>
      </c>
      <c r="E7" s="3">
        <v>114965.4</v>
      </c>
      <c r="F7" s="3">
        <v>10728.239999999998</v>
      </c>
      <c r="G7" s="3">
        <v>8582.5919999999987</v>
      </c>
      <c r="H7" s="10">
        <v>2145.6479999999997</v>
      </c>
      <c r="I7" s="10">
        <f t="shared" si="1"/>
        <v>2145.6479999999997</v>
      </c>
      <c r="J7" s="10">
        <f t="shared" si="2"/>
        <v>2145.6479999999997</v>
      </c>
      <c r="K7">
        <v>30</v>
      </c>
      <c r="L7">
        <v>0.2</v>
      </c>
      <c r="M7" t="str">
        <f>VLOOKUP(C7,Lookup!B:C,2,0)</f>
        <v>7th Street Casino</v>
      </c>
    </row>
    <row r="8" spans="2:16">
      <c r="B8" s="50">
        <f t="shared" si="3"/>
        <v>45991</v>
      </c>
      <c r="C8" s="6">
        <v>3106723</v>
      </c>
      <c r="D8">
        <v>2593737</v>
      </c>
      <c r="E8" s="3">
        <v>166937.1</v>
      </c>
      <c r="F8" s="3">
        <v>11424.529999999999</v>
      </c>
      <c r="G8" s="3">
        <v>9139.6239999999998</v>
      </c>
      <c r="H8" s="10">
        <v>2284.9059999999999</v>
      </c>
      <c r="I8" s="10">
        <f t="shared" si="1"/>
        <v>2284.9059999999999</v>
      </c>
      <c r="J8" s="10">
        <f t="shared" si="2"/>
        <v>2284.9059999999999</v>
      </c>
      <c r="K8">
        <v>30</v>
      </c>
      <c r="L8">
        <v>0.2</v>
      </c>
      <c r="M8" t="str">
        <f>VLOOKUP(C8,Lookup!B:C,2,0)</f>
        <v>7th Street Casino</v>
      </c>
    </row>
    <row r="9" spans="2:16">
      <c r="B9" s="50">
        <f t="shared" si="3"/>
        <v>45991</v>
      </c>
      <c r="C9" s="6">
        <v>3106723</v>
      </c>
      <c r="D9">
        <v>2593735</v>
      </c>
      <c r="E9" s="3">
        <v>144569.60000000001</v>
      </c>
      <c r="F9" s="3">
        <v>13981.440000000002</v>
      </c>
      <c r="G9" s="3">
        <v>11185.152000000002</v>
      </c>
      <c r="H9" s="10">
        <v>2796.2880000000005</v>
      </c>
      <c r="I9" s="10">
        <f t="shared" si="1"/>
        <v>2796.2880000000005</v>
      </c>
      <c r="J9" s="10">
        <f t="shared" si="2"/>
        <v>2796.2880000000005</v>
      </c>
      <c r="K9">
        <v>30</v>
      </c>
      <c r="L9">
        <v>0.2</v>
      </c>
      <c r="M9" t="str">
        <f>VLOOKUP(C9,Lookup!B:C,2,0)</f>
        <v>7th Street Casino</v>
      </c>
    </row>
    <row r="10" spans="2:16">
      <c r="B10" s="50">
        <f t="shared" si="3"/>
        <v>45991</v>
      </c>
      <c r="C10" s="6">
        <v>3106723</v>
      </c>
      <c r="D10">
        <v>2593738</v>
      </c>
      <c r="E10" s="3">
        <v>103229.98</v>
      </c>
      <c r="F10" s="3">
        <v>7525.8799999999974</v>
      </c>
      <c r="G10" s="3">
        <v>6020.7039999999979</v>
      </c>
      <c r="H10" s="10">
        <v>1505.1759999999995</v>
      </c>
      <c r="I10" s="10">
        <f t="shared" si="1"/>
        <v>1505.1759999999995</v>
      </c>
      <c r="J10" s="10">
        <f t="shared" si="2"/>
        <v>1505.1759999999995</v>
      </c>
      <c r="K10">
        <v>30</v>
      </c>
      <c r="L10">
        <v>0.2</v>
      </c>
      <c r="M10" t="str">
        <f>VLOOKUP(C10,Lookup!B:C,2,0)</f>
        <v>7th Street Casino</v>
      </c>
    </row>
    <row r="11" spans="2:16">
      <c r="B11" s="50">
        <f t="shared" si="3"/>
        <v>45991</v>
      </c>
      <c r="C11" s="6">
        <v>3106723</v>
      </c>
      <c r="D11">
        <v>2593736</v>
      </c>
      <c r="E11" s="3">
        <v>121209.2</v>
      </c>
      <c r="F11" s="3">
        <v>8552.14</v>
      </c>
      <c r="G11" s="3">
        <v>6841.7119999999995</v>
      </c>
      <c r="H11" s="10">
        <v>1710.4279999999999</v>
      </c>
      <c r="I11" s="10">
        <f t="shared" si="1"/>
        <v>1710.4279999999999</v>
      </c>
      <c r="J11" s="10">
        <f t="shared" si="2"/>
        <v>1710.4279999999999</v>
      </c>
      <c r="K11">
        <v>30</v>
      </c>
      <c r="L11">
        <v>0.2</v>
      </c>
      <c r="M11" t="str">
        <f>VLOOKUP(C11,Lookup!B:C,2,0)</f>
        <v>7th Street Casino</v>
      </c>
    </row>
    <row r="12" spans="2:16">
      <c r="B12" s="50">
        <f t="shared" si="3"/>
        <v>45991</v>
      </c>
      <c r="C12" s="6">
        <v>3106723</v>
      </c>
      <c r="D12">
        <v>2593739</v>
      </c>
      <c r="E12" s="3">
        <v>145271.94</v>
      </c>
      <c r="F12" s="3">
        <v>11050</v>
      </c>
      <c r="G12" s="3">
        <v>8840</v>
      </c>
      <c r="H12" s="10">
        <v>2210</v>
      </c>
      <c r="I12" s="10">
        <f t="shared" si="1"/>
        <v>2210</v>
      </c>
      <c r="J12" s="10">
        <f t="shared" si="2"/>
        <v>2210</v>
      </c>
      <c r="K12">
        <v>30</v>
      </c>
      <c r="L12">
        <v>0.2</v>
      </c>
      <c r="M12" t="str">
        <f>VLOOKUP(C12,Lookup!B:C,2,0)</f>
        <v>7th Street Casino</v>
      </c>
    </row>
    <row r="13" spans="2:16">
      <c r="B13" s="50">
        <f t="shared" si="3"/>
        <v>45991</v>
      </c>
      <c r="C13" s="6">
        <v>3106723</v>
      </c>
      <c r="D13">
        <v>2623566</v>
      </c>
      <c r="E13" s="3">
        <v>122106.2</v>
      </c>
      <c r="F13" s="3">
        <v>10393.86</v>
      </c>
      <c r="G13" s="3">
        <v>8315.0880000000016</v>
      </c>
      <c r="H13" s="10">
        <v>2078.7720000000004</v>
      </c>
      <c r="I13" s="10">
        <f t="shared" si="1"/>
        <v>2078.7720000000004</v>
      </c>
      <c r="J13" s="10">
        <f t="shared" si="2"/>
        <v>2078.7720000000004</v>
      </c>
      <c r="K13">
        <v>30</v>
      </c>
      <c r="L13">
        <v>0.2</v>
      </c>
      <c r="M13" t="str">
        <f>VLOOKUP(C13,Lookup!B:C,2,0)</f>
        <v>7th Street Casino</v>
      </c>
    </row>
    <row r="14" spans="2:16">
      <c r="B14" s="50">
        <f t="shared" si="3"/>
        <v>45991</v>
      </c>
      <c r="C14" s="6">
        <v>3106723</v>
      </c>
      <c r="D14">
        <v>2623567</v>
      </c>
      <c r="E14" s="3">
        <v>85880.6</v>
      </c>
      <c r="F14" s="3">
        <v>12700.529999999992</v>
      </c>
      <c r="G14" s="3">
        <v>10160.423999999994</v>
      </c>
      <c r="H14" s="10">
        <v>2540.1059999999984</v>
      </c>
      <c r="I14" s="10">
        <f t="shared" si="1"/>
        <v>2540.1059999999984</v>
      </c>
      <c r="J14" s="10">
        <f t="shared" si="2"/>
        <v>2540.1059999999984</v>
      </c>
      <c r="K14">
        <v>30</v>
      </c>
      <c r="L14">
        <v>0.2</v>
      </c>
      <c r="M14" t="str">
        <f>VLOOKUP(C14,Lookup!B:C,2,0)</f>
        <v>7th Street Casino</v>
      </c>
    </row>
    <row r="15" spans="2:16">
      <c r="B15" s="50">
        <f t="shared" si="3"/>
        <v>45991</v>
      </c>
      <c r="C15" s="6">
        <v>3106723</v>
      </c>
      <c r="D15">
        <v>2623565</v>
      </c>
      <c r="E15" s="3">
        <v>53744.2</v>
      </c>
      <c r="F15" s="3">
        <v>597.20000000000437</v>
      </c>
      <c r="G15" s="3">
        <v>477.76000000000352</v>
      </c>
      <c r="H15" s="10">
        <v>119.44000000000088</v>
      </c>
      <c r="I15" s="10">
        <f t="shared" si="1"/>
        <v>119.44000000000088</v>
      </c>
      <c r="J15" s="10">
        <f t="shared" si="2"/>
        <v>119.44000000000088</v>
      </c>
      <c r="K15">
        <v>30</v>
      </c>
      <c r="L15">
        <v>0.2</v>
      </c>
      <c r="M15" t="str">
        <f>VLOOKUP(C15,Lookup!B:C,2,0)</f>
        <v>7th Street Casino</v>
      </c>
    </row>
    <row r="16" spans="2:16">
      <c r="B16" s="50">
        <f t="shared" si="3"/>
        <v>45991</v>
      </c>
      <c r="C16" s="6">
        <v>3106723</v>
      </c>
      <c r="D16">
        <v>2623568</v>
      </c>
      <c r="E16" s="3">
        <v>91847</v>
      </c>
      <c r="F16" s="3">
        <v>11908.910000000003</v>
      </c>
      <c r="G16" s="3">
        <v>9527.1280000000024</v>
      </c>
      <c r="H16" s="10">
        <v>2381.7820000000006</v>
      </c>
      <c r="I16" s="10">
        <f t="shared" si="1"/>
        <v>2381.7820000000006</v>
      </c>
      <c r="J16" s="10">
        <f t="shared" si="2"/>
        <v>2381.7820000000006</v>
      </c>
      <c r="K16">
        <v>30</v>
      </c>
      <c r="L16">
        <v>0.2</v>
      </c>
      <c r="M16" t="str">
        <f>VLOOKUP(C16,Lookup!B:C,2,0)</f>
        <v>7th Street Casino</v>
      </c>
    </row>
    <row r="17" spans="2:15">
      <c r="B17" s="50">
        <f t="shared" si="3"/>
        <v>45991</v>
      </c>
      <c r="C17" s="6">
        <v>3106723</v>
      </c>
      <c r="D17">
        <v>2643071</v>
      </c>
      <c r="E17" s="3">
        <v>107818.8</v>
      </c>
      <c r="F17" s="3">
        <v>-2360.9199999999983</v>
      </c>
      <c r="G17" s="3">
        <v>-1888.7359999999987</v>
      </c>
      <c r="H17" s="10">
        <v>-472.18399999999968</v>
      </c>
      <c r="I17" s="10">
        <f t="shared" si="1"/>
        <v>-472.18399999999968</v>
      </c>
      <c r="J17" s="10">
        <f t="shared" si="2"/>
        <v>-472.18399999999968</v>
      </c>
      <c r="K17">
        <v>30</v>
      </c>
      <c r="L17">
        <v>0.2</v>
      </c>
      <c r="M17" t="str">
        <f>VLOOKUP(C17,Lookup!B:C,2,0)</f>
        <v>7th Street Casino</v>
      </c>
    </row>
    <row r="18" spans="2:15">
      <c r="B18" s="50">
        <f t="shared" si="3"/>
        <v>45991</v>
      </c>
      <c r="C18" s="6">
        <v>3106723</v>
      </c>
      <c r="D18">
        <v>2643074</v>
      </c>
      <c r="E18" s="3">
        <v>85273</v>
      </c>
      <c r="F18" s="3">
        <v>-338.81999999999971</v>
      </c>
      <c r="G18" s="3">
        <v>-271.05599999999976</v>
      </c>
      <c r="H18" s="10">
        <v>-67.763999999999939</v>
      </c>
      <c r="I18" s="10">
        <f t="shared" si="1"/>
        <v>-67.763999999999939</v>
      </c>
      <c r="J18" s="10">
        <f t="shared" si="2"/>
        <v>-67.763999999999939</v>
      </c>
      <c r="K18">
        <v>30</v>
      </c>
      <c r="L18">
        <v>0.2</v>
      </c>
      <c r="M18" t="str">
        <f>VLOOKUP(C18,Lookup!B:C,2,0)</f>
        <v>7th Street Casino</v>
      </c>
    </row>
    <row r="19" spans="2:15">
      <c r="B19" s="50">
        <f t="shared" si="3"/>
        <v>45991</v>
      </c>
      <c r="C19" s="6">
        <v>3106723</v>
      </c>
      <c r="D19">
        <v>2643072</v>
      </c>
      <c r="E19" s="3">
        <v>86677.2</v>
      </c>
      <c r="F19" s="3">
        <v>16327.279999999999</v>
      </c>
      <c r="G19" s="3">
        <v>13061.824000000001</v>
      </c>
      <c r="H19" s="10">
        <v>3265.4560000000001</v>
      </c>
      <c r="I19" s="10">
        <f t="shared" si="1"/>
        <v>3265.4560000000001</v>
      </c>
      <c r="J19" s="10">
        <f t="shared" si="2"/>
        <v>3265.4560000000001</v>
      </c>
      <c r="K19">
        <v>30</v>
      </c>
      <c r="L19">
        <v>0.2</v>
      </c>
      <c r="M19" t="str">
        <f>VLOOKUP(C19,Lookup!B:C,2,0)</f>
        <v>7th Street Casino</v>
      </c>
    </row>
    <row r="20" spans="2:15">
      <c r="B20" s="50">
        <f t="shared" si="3"/>
        <v>45991</v>
      </c>
      <c r="C20" s="6">
        <v>3106723</v>
      </c>
      <c r="D20">
        <v>2643075</v>
      </c>
      <c r="E20" s="3">
        <v>53286.2</v>
      </c>
      <c r="F20" s="3">
        <v>9347.7800000000061</v>
      </c>
      <c r="G20" s="3">
        <v>7478.2240000000056</v>
      </c>
      <c r="H20" s="10">
        <v>1869.5560000000014</v>
      </c>
      <c r="I20" s="10">
        <f t="shared" si="1"/>
        <v>1869.5560000000014</v>
      </c>
      <c r="J20" s="10">
        <f t="shared" si="2"/>
        <v>1869.5560000000014</v>
      </c>
      <c r="K20">
        <v>30</v>
      </c>
      <c r="L20">
        <v>0.2</v>
      </c>
      <c r="M20" t="str">
        <f>VLOOKUP(C20,Lookup!B:C,2,0)</f>
        <v>7th Street Casino</v>
      </c>
    </row>
    <row r="21" spans="2:15">
      <c r="B21" s="50">
        <f t="shared" si="3"/>
        <v>45991</v>
      </c>
      <c r="C21" s="6">
        <v>3106723</v>
      </c>
      <c r="D21">
        <v>2643073</v>
      </c>
      <c r="E21" s="3">
        <v>76964.399999999994</v>
      </c>
      <c r="F21" s="3">
        <v>8843.1900000000023</v>
      </c>
      <c r="G21" s="3">
        <v>7074.5520000000024</v>
      </c>
      <c r="H21" s="10">
        <v>1768.6380000000006</v>
      </c>
      <c r="I21" s="10">
        <f t="shared" si="1"/>
        <v>1768.6380000000006</v>
      </c>
      <c r="J21" s="10">
        <f t="shared" si="2"/>
        <v>1768.6380000000006</v>
      </c>
      <c r="K21">
        <v>30</v>
      </c>
      <c r="L21">
        <v>0.2</v>
      </c>
      <c r="M21" t="str">
        <f>VLOOKUP(C21,Lookup!B:C,2,0)</f>
        <v>7th Street Casino</v>
      </c>
    </row>
    <row r="22" spans="2:15">
      <c r="B22" s="50">
        <f t="shared" si="3"/>
        <v>45991</v>
      </c>
      <c r="C22" s="6">
        <v>3106723</v>
      </c>
      <c r="D22">
        <v>2643076</v>
      </c>
      <c r="E22" s="3">
        <v>64978</v>
      </c>
      <c r="F22" s="3">
        <v>3896</v>
      </c>
      <c r="G22" s="3">
        <v>3116.8</v>
      </c>
      <c r="H22" s="10">
        <v>779.2</v>
      </c>
      <c r="I22" s="10">
        <f t="shared" si="1"/>
        <v>779.2</v>
      </c>
      <c r="J22" s="10">
        <f t="shared" si="2"/>
        <v>779.2</v>
      </c>
      <c r="K22">
        <v>30</v>
      </c>
      <c r="L22">
        <v>0.2</v>
      </c>
      <c r="M22" t="str">
        <f>VLOOKUP(C22,Lookup!B:C,2,0)</f>
        <v>7th Street Casino</v>
      </c>
    </row>
    <row r="23" spans="2:15">
      <c r="B23" s="50">
        <f t="shared" si="3"/>
        <v>45991</v>
      </c>
      <c r="C23" s="6">
        <v>3106723</v>
      </c>
      <c r="D23">
        <v>2643083</v>
      </c>
      <c r="E23" s="3">
        <v>74305.86</v>
      </c>
      <c r="F23" s="3">
        <v>6075.7000000000044</v>
      </c>
      <c r="G23" s="3">
        <v>4860.560000000004</v>
      </c>
      <c r="H23" s="10">
        <v>1215.140000000001</v>
      </c>
      <c r="I23" s="10">
        <f t="shared" si="1"/>
        <v>1215.140000000001</v>
      </c>
      <c r="J23" s="10">
        <f t="shared" si="2"/>
        <v>1215.140000000001</v>
      </c>
      <c r="K23">
        <v>30</v>
      </c>
      <c r="L23">
        <v>0.2</v>
      </c>
      <c r="M23" t="str">
        <f>VLOOKUP(C23,Lookup!B:C,2,0)</f>
        <v>7th Street Casino</v>
      </c>
    </row>
    <row r="24" spans="2:15">
      <c r="B24" s="50">
        <f t="shared" si="3"/>
        <v>45991</v>
      </c>
      <c r="C24" s="6">
        <v>3106723</v>
      </c>
      <c r="D24">
        <v>2643084</v>
      </c>
      <c r="E24" s="3">
        <v>89206.16</v>
      </c>
      <c r="F24" s="3">
        <v>6920.2000000000044</v>
      </c>
      <c r="G24" s="3">
        <v>5536.1600000000035</v>
      </c>
      <c r="H24" s="10">
        <v>1384.0400000000009</v>
      </c>
      <c r="I24" s="10">
        <f t="shared" si="1"/>
        <v>1384.0400000000009</v>
      </c>
      <c r="J24" s="10">
        <f t="shared" si="2"/>
        <v>1384.0400000000009</v>
      </c>
      <c r="K24">
        <v>30</v>
      </c>
      <c r="L24">
        <v>0.2</v>
      </c>
      <c r="M24" t="str">
        <f>VLOOKUP(C24,Lookup!B:C,2,0)</f>
        <v>7th Street Casino</v>
      </c>
    </row>
    <row r="25" spans="2:15">
      <c r="B25" s="50">
        <f t="shared" si="3"/>
        <v>45991</v>
      </c>
      <c r="C25" s="6">
        <v>3106723</v>
      </c>
      <c r="D25">
        <v>2643077</v>
      </c>
      <c r="E25" s="3">
        <v>73079.42</v>
      </c>
      <c r="F25" s="3">
        <v>3892.4400000000023</v>
      </c>
      <c r="G25" s="3">
        <v>3113.952000000002</v>
      </c>
      <c r="H25" s="10">
        <v>778.48800000000051</v>
      </c>
      <c r="I25" s="10">
        <f t="shared" si="1"/>
        <v>778.48800000000051</v>
      </c>
      <c r="J25" s="10">
        <f t="shared" si="2"/>
        <v>778.48800000000051</v>
      </c>
      <c r="K25">
        <v>30</v>
      </c>
      <c r="L25">
        <v>0.2</v>
      </c>
      <c r="M25" t="str">
        <f>VLOOKUP(C25,Lookup!B:C,2,0)</f>
        <v>7th Street Casino</v>
      </c>
      <c r="O25" s="35"/>
    </row>
    <row r="26" spans="2:15">
      <c r="B26" s="50">
        <f t="shared" si="3"/>
        <v>45991</v>
      </c>
      <c r="C26" s="6">
        <v>3106723</v>
      </c>
      <c r="D26">
        <v>2643079</v>
      </c>
      <c r="E26" s="3">
        <v>64949.78</v>
      </c>
      <c r="F26" s="3">
        <v>265.13999999999942</v>
      </c>
      <c r="G26" s="3">
        <v>212.11199999999954</v>
      </c>
      <c r="H26" s="10">
        <v>53.027999999999885</v>
      </c>
      <c r="I26" s="10">
        <f t="shared" si="1"/>
        <v>53.027999999999885</v>
      </c>
      <c r="J26" s="10">
        <f t="shared" si="2"/>
        <v>53.027999999999885</v>
      </c>
      <c r="K26">
        <v>30</v>
      </c>
      <c r="L26">
        <v>0.2</v>
      </c>
      <c r="M26" t="str">
        <f>VLOOKUP(C26,Lookup!B:C,2,0)</f>
        <v>7th Street Casino</v>
      </c>
    </row>
    <row r="27" spans="2:15">
      <c r="B27" s="50">
        <f t="shared" si="3"/>
        <v>45991</v>
      </c>
      <c r="C27" s="6">
        <v>3106723</v>
      </c>
      <c r="D27">
        <v>2643078</v>
      </c>
      <c r="E27" s="3">
        <v>82575.100000000006</v>
      </c>
      <c r="F27" s="3">
        <v>10868.760000000002</v>
      </c>
      <c r="G27" s="3">
        <v>8695.0080000000016</v>
      </c>
      <c r="H27" s="10">
        <v>2173.7520000000004</v>
      </c>
      <c r="I27" s="10">
        <f t="shared" si="1"/>
        <v>2173.7520000000004</v>
      </c>
      <c r="J27" s="10">
        <f t="shared" si="2"/>
        <v>2173.7520000000004</v>
      </c>
      <c r="K27">
        <v>30</v>
      </c>
      <c r="L27">
        <v>0.2</v>
      </c>
      <c r="M27" t="str">
        <f>VLOOKUP(C27,Lookup!B:C,2,0)</f>
        <v>7th Street Casino</v>
      </c>
    </row>
    <row r="28" spans="2:15">
      <c r="B28" s="50">
        <f t="shared" si="3"/>
        <v>45991</v>
      </c>
      <c r="C28" s="6">
        <v>3106723</v>
      </c>
      <c r="D28">
        <v>2643080</v>
      </c>
      <c r="E28" s="3">
        <v>80557.98</v>
      </c>
      <c r="F28" s="3">
        <v>8208.6900000000023</v>
      </c>
      <c r="G28" s="3">
        <v>6566.952000000002</v>
      </c>
      <c r="H28" s="10">
        <v>1641.7380000000005</v>
      </c>
      <c r="I28" s="10">
        <f t="shared" si="1"/>
        <v>1641.7380000000005</v>
      </c>
      <c r="J28" s="10">
        <f t="shared" si="2"/>
        <v>1641.7380000000005</v>
      </c>
      <c r="K28">
        <v>30</v>
      </c>
      <c r="L28">
        <v>0.2</v>
      </c>
      <c r="M28" t="str">
        <f>VLOOKUP(C28,Lookup!B:C,2,0)</f>
        <v>7th Street Casino</v>
      </c>
    </row>
    <row r="29" spans="2:15">
      <c r="B29" s="50">
        <f t="shared" si="3"/>
        <v>45991</v>
      </c>
      <c r="C29" s="6">
        <v>3106723</v>
      </c>
      <c r="D29">
        <v>2643081</v>
      </c>
      <c r="E29" s="3">
        <v>121099.76</v>
      </c>
      <c r="F29" s="3">
        <v>9816.1600000000035</v>
      </c>
      <c r="G29" s="3">
        <v>7852.9280000000035</v>
      </c>
      <c r="H29" s="10">
        <v>1963.2320000000009</v>
      </c>
      <c r="I29" s="10">
        <f t="shared" si="1"/>
        <v>1963.2320000000009</v>
      </c>
      <c r="J29" s="10">
        <f t="shared" si="2"/>
        <v>1963.2320000000009</v>
      </c>
      <c r="K29">
        <v>30</v>
      </c>
      <c r="L29">
        <v>0.2</v>
      </c>
      <c r="M29" t="str">
        <f>VLOOKUP(C29,Lookup!B:C,2,0)</f>
        <v>7th Street Casino</v>
      </c>
    </row>
    <row r="30" spans="2:15">
      <c r="B30" s="50">
        <f t="shared" si="3"/>
        <v>45991</v>
      </c>
      <c r="C30" s="6">
        <v>3106723</v>
      </c>
      <c r="D30">
        <v>2643082</v>
      </c>
      <c r="E30" s="3">
        <v>170729.18</v>
      </c>
      <c r="F30" s="3">
        <v>15616.869999999995</v>
      </c>
      <c r="G30" s="3">
        <v>12493.495999999997</v>
      </c>
      <c r="H30" s="10">
        <v>3123.3739999999993</v>
      </c>
      <c r="I30" s="10">
        <f t="shared" si="1"/>
        <v>3123.3739999999993</v>
      </c>
      <c r="J30" s="10">
        <f t="shared" si="2"/>
        <v>3123.3739999999993</v>
      </c>
      <c r="K30">
        <v>30</v>
      </c>
      <c r="L30">
        <v>0.2</v>
      </c>
      <c r="M30" t="str">
        <f>VLOOKUP(C30,Lookup!B:C,2,0)</f>
        <v>7th Street Casino</v>
      </c>
    </row>
    <row r="31" spans="2:15">
      <c r="B31" s="50">
        <f t="shared" si="3"/>
        <v>45991</v>
      </c>
      <c r="C31" s="6">
        <v>3106723</v>
      </c>
      <c r="D31">
        <v>2578899</v>
      </c>
      <c r="E31" s="3">
        <v>69373.95</v>
      </c>
      <c r="F31" s="3">
        <v>4616.5200000000004</v>
      </c>
      <c r="G31" s="3">
        <v>3693.2160000000003</v>
      </c>
      <c r="H31" s="10">
        <v>923.30400000000009</v>
      </c>
      <c r="I31" s="10">
        <f t="shared" si="1"/>
        <v>923.30400000000009</v>
      </c>
      <c r="J31" s="10">
        <f t="shared" si="2"/>
        <v>923.30400000000009</v>
      </c>
      <c r="K31">
        <v>30</v>
      </c>
      <c r="L31">
        <v>0.2</v>
      </c>
      <c r="M31" t="str">
        <f>VLOOKUP(C31,Lookup!B:C,2,0)</f>
        <v>7th Street Casino</v>
      </c>
    </row>
    <row r="32" spans="2:15">
      <c r="B32" s="50">
        <f t="shared" si="3"/>
        <v>45991</v>
      </c>
      <c r="C32" s="6">
        <v>3106723</v>
      </c>
      <c r="D32">
        <v>2646295</v>
      </c>
      <c r="E32" s="3">
        <v>181826.25</v>
      </c>
      <c r="F32" s="3">
        <v>13346.309999999998</v>
      </c>
      <c r="G32" s="3">
        <v>10677.047999999999</v>
      </c>
      <c r="H32" s="10">
        <v>2669.2619999999997</v>
      </c>
      <c r="I32" s="10">
        <f t="shared" si="1"/>
        <v>2669.2619999999997</v>
      </c>
      <c r="J32" s="10">
        <f t="shared" si="2"/>
        <v>2669.2619999999997</v>
      </c>
      <c r="K32">
        <v>30</v>
      </c>
      <c r="L32">
        <v>0.2</v>
      </c>
      <c r="M32" t="str">
        <f>VLOOKUP(C32,Lookup!B:C,2,0)</f>
        <v>7th Street Casino</v>
      </c>
    </row>
    <row r="33" spans="2:13">
      <c r="B33" s="50">
        <f t="shared" si="3"/>
        <v>45991</v>
      </c>
      <c r="C33" s="6">
        <v>3106723</v>
      </c>
      <c r="D33">
        <v>2646296</v>
      </c>
      <c r="E33" s="3">
        <v>188816.25</v>
      </c>
      <c r="F33" s="3">
        <v>11652.429999999993</v>
      </c>
      <c r="G33" s="3">
        <v>9321.943999999994</v>
      </c>
      <c r="H33" s="10">
        <v>2330.4859999999985</v>
      </c>
      <c r="I33" s="10">
        <f t="shared" si="1"/>
        <v>2330.4859999999985</v>
      </c>
      <c r="J33" s="10">
        <f t="shared" si="2"/>
        <v>2330.4859999999985</v>
      </c>
      <c r="K33">
        <v>30</v>
      </c>
      <c r="L33">
        <v>0.2</v>
      </c>
      <c r="M33" t="str">
        <f>VLOOKUP(C33,Lookup!B:C,2,0)</f>
        <v>7th Street Casino</v>
      </c>
    </row>
    <row r="34" spans="2:13">
      <c r="B34" s="50">
        <f t="shared" si="3"/>
        <v>45991</v>
      </c>
      <c r="C34" s="6">
        <v>3106723</v>
      </c>
      <c r="D34">
        <v>2646297</v>
      </c>
      <c r="E34" s="3">
        <v>126296.75</v>
      </c>
      <c r="F34" s="3">
        <v>2205.4899999999907</v>
      </c>
      <c r="G34" s="3">
        <v>1764.3919999999925</v>
      </c>
      <c r="H34" s="10">
        <v>441.09799999999814</v>
      </c>
      <c r="I34" s="10">
        <f t="shared" si="1"/>
        <v>441.09799999999814</v>
      </c>
      <c r="J34" s="10">
        <f t="shared" si="2"/>
        <v>441.09799999999814</v>
      </c>
      <c r="K34">
        <v>30</v>
      </c>
      <c r="L34">
        <v>0.2</v>
      </c>
      <c r="M34" t="str">
        <f>VLOOKUP(C34,Lookup!B:C,2,0)</f>
        <v>7th Street Casino</v>
      </c>
    </row>
    <row r="35" spans="2:13">
      <c r="B35" s="50">
        <f t="shared" si="3"/>
        <v>45991</v>
      </c>
      <c r="C35" s="6">
        <v>3106723</v>
      </c>
      <c r="D35">
        <v>2646298</v>
      </c>
      <c r="E35" s="3">
        <v>236244</v>
      </c>
      <c r="F35" s="3">
        <v>28654.479999999996</v>
      </c>
      <c r="G35" s="3">
        <v>22923.583999999999</v>
      </c>
      <c r="H35" s="10">
        <v>5730.8959999999997</v>
      </c>
      <c r="I35" s="10">
        <f t="shared" si="1"/>
        <v>5730.8959999999997</v>
      </c>
      <c r="J35" s="10">
        <f t="shared" si="2"/>
        <v>5730.8959999999997</v>
      </c>
      <c r="K35">
        <v>30</v>
      </c>
      <c r="L35">
        <v>0.2</v>
      </c>
      <c r="M35" t="str">
        <f>VLOOKUP(C35,Lookup!B:C,2,0)</f>
        <v>7th Street Casino</v>
      </c>
    </row>
    <row r="36" spans="2:13">
      <c r="B36" s="50">
        <f t="shared" si="3"/>
        <v>45991</v>
      </c>
      <c r="C36" s="6">
        <v>3106723</v>
      </c>
      <c r="D36">
        <v>2578900</v>
      </c>
      <c r="E36" s="3">
        <v>79103.5</v>
      </c>
      <c r="F36" s="3">
        <v>3591.5699999999997</v>
      </c>
      <c r="G36" s="3">
        <v>2873.2559999999999</v>
      </c>
      <c r="H36" s="10">
        <v>718.31399999999996</v>
      </c>
      <c r="I36" s="10">
        <f t="shared" si="1"/>
        <v>718.31399999999996</v>
      </c>
      <c r="J36" s="10">
        <f t="shared" si="2"/>
        <v>718.31399999999996</v>
      </c>
      <c r="K36">
        <v>30</v>
      </c>
      <c r="L36">
        <v>0.2</v>
      </c>
      <c r="M36" t="str">
        <f>VLOOKUP(C36,Lookup!B:C,2,0)</f>
        <v>7th Street Casino</v>
      </c>
    </row>
    <row r="37" spans="2:13">
      <c r="B37" s="50">
        <f t="shared" si="3"/>
        <v>45991</v>
      </c>
      <c r="C37" s="6">
        <v>3106723</v>
      </c>
      <c r="D37">
        <v>2603541</v>
      </c>
      <c r="E37" s="3">
        <v>91027.8</v>
      </c>
      <c r="F37" s="3">
        <v>7042.68</v>
      </c>
      <c r="G37" s="3">
        <v>5634.1440000000002</v>
      </c>
      <c r="H37" s="10">
        <v>1408.5360000000001</v>
      </c>
      <c r="I37" s="10">
        <f t="shared" si="1"/>
        <v>1408.5360000000001</v>
      </c>
      <c r="J37" s="10">
        <f t="shared" si="2"/>
        <v>1408.5360000000001</v>
      </c>
      <c r="K37">
        <v>30</v>
      </c>
      <c r="L37">
        <v>0.2</v>
      </c>
      <c r="M37" t="str">
        <f>VLOOKUP(C37,Lookup!B:C,2,0)</f>
        <v>7th Street Casino</v>
      </c>
    </row>
    <row r="38" spans="2:13">
      <c r="B38" s="50">
        <f t="shared" si="3"/>
        <v>45991</v>
      </c>
      <c r="C38" s="6">
        <v>3106723</v>
      </c>
      <c r="D38">
        <v>2603542</v>
      </c>
      <c r="E38" s="3">
        <v>118808.4</v>
      </c>
      <c r="F38" s="3">
        <v>9092.2100000000064</v>
      </c>
      <c r="G38" s="3">
        <v>7273.7680000000055</v>
      </c>
      <c r="H38" s="10">
        <v>1818.4420000000014</v>
      </c>
      <c r="I38" s="10">
        <f t="shared" si="1"/>
        <v>1818.4420000000014</v>
      </c>
      <c r="J38" s="10">
        <f t="shared" si="2"/>
        <v>1818.4420000000014</v>
      </c>
      <c r="K38">
        <v>30</v>
      </c>
      <c r="L38">
        <v>0.2</v>
      </c>
      <c r="M38" t="str">
        <f>VLOOKUP(C38,Lookup!B:C,2,0)</f>
        <v>7th Street Casino</v>
      </c>
    </row>
    <row r="39" spans="2:13">
      <c r="B39" s="50">
        <f t="shared" si="3"/>
        <v>45991</v>
      </c>
      <c r="C39" s="6">
        <v>3106723</v>
      </c>
      <c r="D39">
        <v>2603543</v>
      </c>
      <c r="E39" s="3">
        <v>161441.60000000001</v>
      </c>
      <c r="F39" s="3">
        <v>13108.630000000005</v>
      </c>
      <c r="G39" s="3">
        <v>10486.904000000004</v>
      </c>
      <c r="H39" s="10">
        <v>2621.726000000001</v>
      </c>
      <c r="I39" s="10">
        <f t="shared" si="1"/>
        <v>2621.726000000001</v>
      </c>
      <c r="J39" s="10">
        <f t="shared" si="2"/>
        <v>2621.726000000001</v>
      </c>
      <c r="K39">
        <v>30</v>
      </c>
      <c r="L39">
        <v>0.2</v>
      </c>
      <c r="M39" t="str">
        <f>VLOOKUP(C39,Lookup!B:C,2,0)</f>
        <v>7th Street Casino</v>
      </c>
    </row>
    <row r="40" spans="2:13">
      <c r="B40" s="50">
        <f t="shared" si="3"/>
        <v>45991</v>
      </c>
      <c r="C40" s="6">
        <v>3106723</v>
      </c>
      <c r="D40">
        <v>2603544</v>
      </c>
      <c r="E40" s="3">
        <v>177268.4</v>
      </c>
      <c r="F40" s="3">
        <v>18709.199999999997</v>
      </c>
      <c r="G40" s="3">
        <v>14967.359999999999</v>
      </c>
      <c r="H40" s="10">
        <v>3741.8399999999997</v>
      </c>
      <c r="I40" s="10">
        <f t="shared" si="1"/>
        <v>3741.8399999999997</v>
      </c>
      <c r="J40" s="10">
        <f t="shared" si="2"/>
        <v>3741.8399999999997</v>
      </c>
      <c r="K40">
        <v>30</v>
      </c>
      <c r="L40">
        <v>0.2</v>
      </c>
      <c r="M40" t="str">
        <f>VLOOKUP(C40,Lookup!B:C,2,0)</f>
        <v>7th Street Casino</v>
      </c>
    </row>
    <row r="41" spans="2:13">
      <c r="B41" s="50">
        <f t="shared" si="3"/>
        <v>45991</v>
      </c>
      <c r="C41" s="6">
        <v>3106723</v>
      </c>
      <c r="D41">
        <v>2603545</v>
      </c>
      <c r="E41" s="3">
        <v>67529.600000000006</v>
      </c>
      <c r="F41" s="3">
        <v>7158.9600000000064</v>
      </c>
      <c r="G41" s="3">
        <v>5727.1680000000051</v>
      </c>
      <c r="H41" s="10">
        <v>1431.7920000000013</v>
      </c>
      <c r="I41" s="10">
        <f t="shared" si="1"/>
        <v>1431.7920000000013</v>
      </c>
      <c r="J41" s="10">
        <f t="shared" si="2"/>
        <v>1431.7920000000013</v>
      </c>
      <c r="K41">
        <v>30</v>
      </c>
      <c r="L41">
        <v>0.2</v>
      </c>
      <c r="M41" t="str">
        <f>VLOOKUP(C41,Lookup!B:C,2,0)</f>
        <v>7th Street Casino</v>
      </c>
    </row>
    <row r="42" spans="2:13">
      <c r="B42" s="50">
        <f t="shared" si="3"/>
        <v>45991</v>
      </c>
      <c r="C42" s="6">
        <v>3106723</v>
      </c>
      <c r="D42">
        <v>2603546</v>
      </c>
      <c r="E42" s="3">
        <v>161831.66</v>
      </c>
      <c r="F42" s="3">
        <v>2246.4399999999878</v>
      </c>
      <c r="G42" s="3">
        <v>1797.1519999999903</v>
      </c>
      <c r="H42" s="10">
        <v>449.28799999999757</v>
      </c>
      <c r="I42" s="10">
        <f t="shared" si="1"/>
        <v>449.28799999999757</v>
      </c>
      <c r="J42" s="10">
        <f t="shared" si="2"/>
        <v>449.28799999999757</v>
      </c>
      <c r="K42">
        <v>30</v>
      </c>
      <c r="L42">
        <v>0.2</v>
      </c>
      <c r="M42" t="str">
        <f>VLOOKUP(C42,Lookup!B:C,2,0)</f>
        <v>7th Street Casino</v>
      </c>
    </row>
    <row r="43" spans="2:13">
      <c r="B43" s="50">
        <f t="shared" si="3"/>
        <v>45991</v>
      </c>
      <c r="C43" s="6">
        <v>3106723</v>
      </c>
      <c r="D43">
        <v>2603547</v>
      </c>
      <c r="E43" s="3">
        <v>76932.679999999993</v>
      </c>
      <c r="F43" s="3">
        <v>5988.4400000000023</v>
      </c>
      <c r="G43" s="3">
        <v>4790.7520000000022</v>
      </c>
      <c r="H43" s="10">
        <v>1197.6880000000006</v>
      </c>
      <c r="I43" s="10">
        <f t="shared" si="1"/>
        <v>1197.6880000000006</v>
      </c>
      <c r="J43" s="10">
        <f t="shared" si="2"/>
        <v>1197.6880000000006</v>
      </c>
      <c r="K43">
        <v>30</v>
      </c>
      <c r="L43">
        <v>0.2</v>
      </c>
      <c r="M43" t="str">
        <f>VLOOKUP(C43,Lookup!B:C,2,0)</f>
        <v>7th Street Casino</v>
      </c>
    </row>
    <row r="44" spans="2:13">
      <c r="B44" s="50">
        <f t="shared" si="3"/>
        <v>45991</v>
      </c>
      <c r="C44" s="6">
        <v>3106723</v>
      </c>
      <c r="D44">
        <v>2603548</v>
      </c>
      <c r="E44" s="3">
        <v>93622.84</v>
      </c>
      <c r="F44" s="3">
        <v>2935.0599999999977</v>
      </c>
      <c r="G44" s="3">
        <v>2348.0479999999984</v>
      </c>
      <c r="H44" s="10">
        <v>587.0119999999996</v>
      </c>
      <c r="I44" s="10">
        <f t="shared" si="1"/>
        <v>587.0119999999996</v>
      </c>
      <c r="J44" s="10">
        <f t="shared" si="2"/>
        <v>587.0119999999996</v>
      </c>
      <c r="K44">
        <v>30</v>
      </c>
      <c r="L44">
        <v>0.2</v>
      </c>
      <c r="M44" t="str">
        <f>VLOOKUP(C44,Lookup!B:C,2,0)</f>
        <v>7th Street Casino</v>
      </c>
    </row>
    <row r="45" spans="2:13">
      <c r="B45" s="50">
        <f t="shared" si="3"/>
        <v>45991</v>
      </c>
      <c r="C45" s="6">
        <v>3106723</v>
      </c>
      <c r="D45">
        <v>2603549</v>
      </c>
      <c r="E45" s="3">
        <v>57579.75</v>
      </c>
      <c r="F45" s="3">
        <v>5728.3899999999994</v>
      </c>
      <c r="G45" s="3">
        <v>4582.7119999999995</v>
      </c>
      <c r="H45" s="10">
        <v>1145.6779999999999</v>
      </c>
      <c r="I45" s="10">
        <f t="shared" si="1"/>
        <v>1145.6779999999999</v>
      </c>
      <c r="J45" s="10">
        <f t="shared" si="2"/>
        <v>1145.6779999999999</v>
      </c>
      <c r="K45">
        <v>30</v>
      </c>
      <c r="L45">
        <v>0.2</v>
      </c>
      <c r="M45" t="str">
        <f>VLOOKUP(C45,Lookup!B:C,2,0)</f>
        <v>7th Street Casino</v>
      </c>
    </row>
    <row r="46" spans="2:13">
      <c r="B46" s="50">
        <f t="shared" si="3"/>
        <v>45991</v>
      </c>
      <c r="C46" s="6">
        <v>3106723</v>
      </c>
      <c r="D46">
        <v>2603550</v>
      </c>
      <c r="E46" s="3">
        <v>112122.75</v>
      </c>
      <c r="F46" s="3">
        <v>10649.239999999991</v>
      </c>
      <c r="G46" s="3">
        <v>8519.3919999999925</v>
      </c>
      <c r="H46" s="10">
        <v>2129.8479999999981</v>
      </c>
      <c r="I46" s="10">
        <f t="shared" si="1"/>
        <v>2129.8479999999981</v>
      </c>
      <c r="J46" s="10">
        <f t="shared" si="2"/>
        <v>2129.8479999999981</v>
      </c>
      <c r="K46">
        <v>30</v>
      </c>
      <c r="L46">
        <v>0.2</v>
      </c>
      <c r="M46" t="str">
        <f>VLOOKUP(C46,Lookup!B:C,2,0)</f>
        <v>7th Street Casino</v>
      </c>
    </row>
    <row r="47" spans="2:13">
      <c r="B47" s="50">
        <f t="shared" si="3"/>
        <v>45991</v>
      </c>
      <c r="C47" s="6">
        <v>3302859</v>
      </c>
      <c r="D47">
        <v>2531268</v>
      </c>
      <c r="E47" s="3">
        <v>113039.99999999999</v>
      </c>
      <c r="F47" s="3">
        <v>11447.149999999994</v>
      </c>
      <c r="G47" s="3">
        <f>+F47-H47</f>
        <v>10545.686937499995</v>
      </c>
      <c r="H47" s="10">
        <v>901.46306249999952</v>
      </c>
      <c r="I47" s="10">
        <f t="shared" si="1"/>
        <v>901.46306249999952</v>
      </c>
      <c r="J47" s="10">
        <f t="shared" ref="J47:J54" si="4">I47</f>
        <v>901.46306249999952</v>
      </c>
      <c r="K47">
        <v>31</v>
      </c>
      <c r="L47">
        <v>7.8750000000000001E-2</v>
      </c>
      <c r="M47" t="str">
        <f>VLOOKUP(C47,Lookup!B:C,2,0)</f>
        <v>Choctaw Durant Casino &amp; Resort</v>
      </c>
    </row>
    <row r="48" spans="2:13">
      <c r="B48" s="50">
        <f t="shared" ref="B48:B55" si="5">B47</f>
        <v>45991</v>
      </c>
      <c r="C48" s="6">
        <v>3302859</v>
      </c>
      <c r="D48">
        <v>2531264</v>
      </c>
      <c r="E48" s="3">
        <v>100079.22</v>
      </c>
      <c r="F48" s="3">
        <v>5637.0200000000041</v>
      </c>
      <c r="G48" s="3">
        <f t="shared" ref="G48:G63" si="6">+F48-H48</f>
        <v>5193.1046750000041</v>
      </c>
      <c r="H48" s="10">
        <v>443.91532500000034</v>
      </c>
      <c r="I48" s="10">
        <f t="shared" si="1"/>
        <v>443.91532500000034</v>
      </c>
      <c r="J48" s="10">
        <f t="shared" si="4"/>
        <v>443.91532500000034</v>
      </c>
      <c r="K48">
        <v>31</v>
      </c>
      <c r="L48">
        <v>7.8750000000000001E-2</v>
      </c>
      <c r="M48" t="str">
        <f>VLOOKUP(C48,Lookup!B:C,2,0)</f>
        <v>Choctaw Durant Casino &amp; Resort</v>
      </c>
    </row>
    <row r="49" spans="2:13">
      <c r="B49" s="50">
        <f t="shared" si="5"/>
        <v>45991</v>
      </c>
      <c r="C49" s="6">
        <v>3302859</v>
      </c>
      <c r="D49">
        <v>2531269</v>
      </c>
      <c r="E49" s="3">
        <v>94682.619999999966</v>
      </c>
      <c r="F49" s="3">
        <v>9355.9700000000012</v>
      </c>
      <c r="G49" s="3">
        <f t="shared" si="6"/>
        <v>8619.1873625000007</v>
      </c>
      <c r="H49" s="10">
        <v>736.78263750000008</v>
      </c>
      <c r="I49" s="10">
        <f t="shared" si="1"/>
        <v>736.78263750000008</v>
      </c>
      <c r="J49" s="10">
        <f t="shared" si="4"/>
        <v>736.78263750000008</v>
      </c>
      <c r="K49">
        <v>31</v>
      </c>
      <c r="L49">
        <v>7.8750000000000001E-2</v>
      </c>
      <c r="M49" t="str">
        <f>VLOOKUP(C49,Lookup!B:C,2,0)</f>
        <v>Choctaw Durant Casino &amp; Resort</v>
      </c>
    </row>
    <row r="50" spans="2:13">
      <c r="B50" s="50">
        <f t="shared" si="5"/>
        <v>45991</v>
      </c>
      <c r="C50" s="6">
        <v>3302859</v>
      </c>
      <c r="D50">
        <v>2531265</v>
      </c>
      <c r="E50" s="3">
        <v>140952.5</v>
      </c>
      <c r="F50" s="3">
        <v>11984.949999999997</v>
      </c>
      <c r="G50" s="3">
        <f t="shared" si="6"/>
        <v>11041.135187499996</v>
      </c>
      <c r="H50" s="10">
        <v>943.81481249999979</v>
      </c>
      <c r="I50" s="10">
        <f t="shared" si="1"/>
        <v>943.81481249999979</v>
      </c>
      <c r="J50" s="10">
        <f t="shared" si="4"/>
        <v>943.81481249999979</v>
      </c>
      <c r="K50">
        <v>31</v>
      </c>
      <c r="L50">
        <v>7.8750000000000001E-2</v>
      </c>
      <c r="M50" t="str">
        <f>VLOOKUP(C50,Lookup!B:C,2,0)</f>
        <v>Choctaw Durant Casino &amp; Resort</v>
      </c>
    </row>
    <row r="51" spans="2:13">
      <c r="B51" s="50">
        <f t="shared" si="5"/>
        <v>45991</v>
      </c>
      <c r="C51" s="6">
        <v>3302859</v>
      </c>
      <c r="D51">
        <v>2531270</v>
      </c>
      <c r="E51" s="3">
        <v>115133.97999999998</v>
      </c>
      <c r="F51" s="3">
        <v>14565.240000000005</v>
      </c>
      <c r="G51" s="3">
        <f t="shared" si="6"/>
        <v>13418.227350000005</v>
      </c>
      <c r="H51" s="10">
        <v>1147.0126500000003</v>
      </c>
      <c r="I51" s="10">
        <f t="shared" si="1"/>
        <v>1147.0126500000003</v>
      </c>
      <c r="J51" s="10">
        <f t="shared" si="4"/>
        <v>1147.0126500000003</v>
      </c>
      <c r="K51">
        <v>31</v>
      </c>
      <c r="L51">
        <v>7.8750000000000001E-2</v>
      </c>
      <c r="M51" t="str">
        <f>VLOOKUP(C51,Lookup!B:C,2,0)</f>
        <v>Choctaw Durant Casino &amp; Resort</v>
      </c>
    </row>
    <row r="52" spans="2:13">
      <c r="B52" s="50">
        <f t="shared" si="5"/>
        <v>45991</v>
      </c>
      <c r="C52" s="6">
        <v>3302859</v>
      </c>
      <c r="D52">
        <v>2531266</v>
      </c>
      <c r="E52" s="3">
        <v>88284.1</v>
      </c>
      <c r="F52" s="3">
        <v>3827.25</v>
      </c>
      <c r="G52" s="3">
        <f t="shared" si="6"/>
        <v>3525.8540625000001</v>
      </c>
      <c r="H52" s="10">
        <v>301.3959375</v>
      </c>
      <c r="I52" s="10">
        <f t="shared" si="1"/>
        <v>301.3959375</v>
      </c>
      <c r="J52" s="10">
        <f t="shared" si="4"/>
        <v>301.3959375</v>
      </c>
      <c r="K52">
        <v>31</v>
      </c>
      <c r="L52">
        <v>7.8750000000000001E-2</v>
      </c>
      <c r="M52" t="str">
        <f>VLOOKUP(C52,Lookup!B:C,2,0)</f>
        <v>Choctaw Durant Casino &amp; Resort</v>
      </c>
    </row>
    <row r="53" spans="2:13">
      <c r="B53" s="50">
        <f t="shared" si="5"/>
        <v>45991</v>
      </c>
      <c r="C53" s="6">
        <v>3302859</v>
      </c>
      <c r="D53">
        <v>2531271</v>
      </c>
      <c r="E53" s="3">
        <v>101661.70000000001</v>
      </c>
      <c r="F53" s="3">
        <v>6970.4199999999983</v>
      </c>
      <c r="G53" s="3">
        <f t="shared" si="6"/>
        <v>6421.4994249999982</v>
      </c>
      <c r="H53" s="10">
        <v>548.92057499999987</v>
      </c>
      <c r="I53" s="10">
        <f t="shared" si="1"/>
        <v>548.92057499999987</v>
      </c>
      <c r="J53" s="10">
        <f t="shared" si="4"/>
        <v>548.92057499999987</v>
      </c>
      <c r="K53">
        <v>31</v>
      </c>
      <c r="L53">
        <v>7.8750000000000001E-2</v>
      </c>
      <c r="M53" t="str">
        <f>VLOOKUP(C53,Lookup!B:C,2,0)</f>
        <v>Choctaw Durant Casino &amp; Resort</v>
      </c>
    </row>
    <row r="54" spans="2:13">
      <c r="B54" s="50">
        <f t="shared" si="5"/>
        <v>45991</v>
      </c>
      <c r="C54" s="6">
        <v>3302859</v>
      </c>
      <c r="D54">
        <v>2531267</v>
      </c>
      <c r="E54" s="3">
        <v>141210.41999999998</v>
      </c>
      <c r="F54" s="3">
        <v>14643.410000000003</v>
      </c>
      <c r="G54" s="3">
        <f t="shared" si="6"/>
        <v>13490.241462500004</v>
      </c>
      <c r="H54" s="10">
        <v>1153.1685375000002</v>
      </c>
      <c r="I54" s="10">
        <f t="shared" si="1"/>
        <v>1153.1685375000002</v>
      </c>
      <c r="J54" s="10">
        <f t="shared" si="4"/>
        <v>1153.1685375000002</v>
      </c>
      <c r="K54">
        <v>31</v>
      </c>
      <c r="L54">
        <v>7.8750000000000001E-2</v>
      </c>
      <c r="M54" t="str">
        <f>VLOOKUP(C54,Lookup!B:C,2,0)</f>
        <v>Choctaw Durant Casino &amp; Resort</v>
      </c>
    </row>
    <row r="55" spans="2:13">
      <c r="B55" s="50">
        <f t="shared" si="5"/>
        <v>45991</v>
      </c>
      <c r="C55" s="6">
        <v>3312495</v>
      </c>
      <c r="D55">
        <v>2607362</v>
      </c>
      <c r="E55" s="3">
        <v>38761.25</v>
      </c>
      <c r="F55" s="3">
        <v>6184.3899999999994</v>
      </c>
      <c r="G55" s="3">
        <f t="shared" si="6"/>
        <v>5697.3692874999997</v>
      </c>
      <c r="H55" s="10">
        <v>487.02071249999995</v>
      </c>
      <c r="I55" s="10">
        <f t="shared" si="1"/>
        <v>487.02071249999995</v>
      </c>
      <c r="J55" s="10">
        <f t="shared" ref="J55:J63" si="7">I55</f>
        <v>487.02071249999995</v>
      </c>
      <c r="K55">
        <v>30</v>
      </c>
      <c r="L55">
        <v>7.8750000000000001E-2</v>
      </c>
      <c r="M55" t="str">
        <f>VLOOKUP(C55,Lookup!B:C,2,0)</f>
        <v>Choctaw Landing</v>
      </c>
    </row>
    <row r="56" spans="2:13">
      <c r="B56" s="50">
        <f t="shared" ref="B56:B64" si="8">B55</f>
        <v>45991</v>
      </c>
      <c r="C56" s="6">
        <v>3312495</v>
      </c>
      <c r="D56">
        <v>2607360</v>
      </c>
      <c r="E56" s="3">
        <v>29252</v>
      </c>
      <c r="F56" s="3">
        <v>5602</v>
      </c>
      <c r="G56" s="3">
        <f t="shared" si="6"/>
        <v>5160.8424999999997</v>
      </c>
      <c r="H56" s="10">
        <v>441.15750000000003</v>
      </c>
      <c r="I56" s="10">
        <f t="shared" si="1"/>
        <v>441.15750000000003</v>
      </c>
      <c r="J56" s="10">
        <f t="shared" si="7"/>
        <v>441.15750000000003</v>
      </c>
      <c r="K56">
        <v>30</v>
      </c>
      <c r="L56">
        <v>7.8750000000000001E-2</v>
      </c>
      <c r="M56" t="str">
        <f>VLOOKUP(C56,Lookup!B:C,2,0)</f>
        <v>Choctaw Landing</v>
      </c>
    </row>
    <row r="57" spans="2:13">
      <c r="B57" s="50">
        <f t="shared" si="8"/>
        <v>45991</v>
      </c>
      <c r="C57" s="6">
        <v>3312495</v>
      </c>
      <c r="D57">
        <v>2607363</v>
      </c>
      <c r="E57" s="3">
        <v>37442.25</v>
      </c>
      <c r="F57" s="3">
        <v>3309.3499999999985</v>
      </c>
      <c r="G57" s="3">
        <f t="shared" si="6"/>
        <v>3048.7386874999988</v>
      </c>
      <c r="H57" s="10">
        <v>260.61131249999988</v>
      </c>
      <c r="I57" s="10">
        <f t="shared" si="1"/>
        <v>260.61131249999988</v>
      </c>
      <c r="J57" s="10">
        <f t="shared" si="7"/>
        <v>260.61131249999988</v>
      </c>
      <c r="K57">
        <v>30</v>
      </c>
      <c r="L57">
        <v>7.8750000000000001E-2</v>
      </c>
      <c r="M57" t="str">
        <f>VLOOKUP(C57,Lookup!B:C,2,0)</f>
        <v>Choctaw Landing</v>
      </c>
    </row>
    <row r="58" spans="2:13">
      <c r="B58" s="50">
        <f t="shared" si="8"/>
        <v>45991</v>
      </c>
      <c r="C58" s="6">
        <v>3312495</v>
      </c>
      <c r="D58">
        <v>2607364</v>
      </c>
      <c r="E58" s="3">
        <v>26745</v>
      </c>
      <c r="F58" s="3">
        <v>2056.9799999999996</v>
      </c>
      <c r="G58" s="3">
        <f t="shared" si="6"/>
        <v>1894.9928249999996</v>
      </c>
      <c r="H58" s="10">
        <v>161.98717499999998</v>
      </c>
      <c r="I58" s="10">
        <f t="shared" si="1"/>
        <v>161.98717499999998</v>
      </c>
      <c r="J58" s="10">
        <f t="shared" si="7"/>
        <v>161.98717499999998</v>
      </c>
      <c r="K58">
        <v>30</v>
      </c>
      <c r="L58">
        <v>7.8750000000000001E-2</v>
      </c>
      <c r="M58" t="str">
        <f>VLOOKUP(C58,Lookup!B:C,2,0)</f>
        <v>Choctaw Landing</v>
      </c>
    </row>
    <row r="59" spans="2:13">
      <c r="B59" s="50">
        <f t="shared" si="8"/>
        <v>45991</v>
      </c>
      <c r="C59" s="6">
        <v>3312495</v>
      </c>
      <c r="D59">
        <v>2607361</v>
      </c>
      <c r="E59" s="3">
        <v>56905</v>
      </c>
      <c r="F59" s="3">
        <v>9004.89</v>
      </c>
      <c r="G59" s="3">
        <f t="shared" si="6"/>
        <v>8295.7549124999987</v>
      </c>
      <c r="H59" s="10">
        <v>709.13508749999994</v>
      </c>
      <c r="I59" s="10">
        <f t="shared" si="1"/>
        <v>709.13508749999994</v>
      </c>
      <c r="J59" s="10">
        <f t="shared" si="7"/>
        <v>709.13508749999994</v>
      </c>
      <c r="K59">
        <v>30</v>
      </c>
      <c r="L59">
        <v>7.8750000000000001E-2</v>
      </c>
      <c r="M59" t="str">
        <f>VLOOKUP(C59,Lookup!B:C,2,0)</f>
        <v>Choctaw Landing</v>
      </c>
    </row>
    <row r="60" spans="2:13">
      <c r="B60" s="50">
        <f t="shared" si="8"/>
        <v>45991</v>
      </c>
      <c r="C60" s="6">
        <v>3312495</v>
      </c>
      <c r="D60">
        <v>2607365</v>
      </c>
      <c r="E60" s="3">
        <v>43194.5</v>
      </c>
      <c r="F60" s="3">
        <v>5562.8700000000026</v>
      </c>
      <c r="G60" s="3">
        <f t="shared" si="6"/>
        <v>5124.793987500002</v>
      </c>
      <c r="H60" s="10">
        <v>438.07601250000022</v>
      </c>
      <c r="I60" s="10">
        <f t="shared" si="1"/>
        <v>438.07601250000022</v>
      </c>
      <c r="J60" s="10">
        <f t="shared" si="7"/>
        <v>438.07601250000022</v>
      </c>
      <c r="K60">
        <v>30</v>
      </c>
      <c r="L60">
        <v>7.8750000000000001E-2</v>
      </c>
      <c r="M60" t="str">
        <f>VLOOKUP(C60,Lookup!B:C,2,0)</f>
        <v>Choctaw Landing</v>
      </c>
    </row>
    <row r="61" spans="2:13">
      <c r="B61" s="50">
        <f t="shared" si="8"/>
        <v>45991</v>
      </c>
      <c r="C61" s="6">
        <v>3312495</v>
      </c>
      <c r="D61">
        <v>2540252</v>
      </c>
      <c r="E61" s="3">
        <v>44732.880000000005</v>
      </c>
      <c r="F61" s="3">
        <v>5114.3300000000017</v>
      </c>
      <c r="G61" s="3">
        <f t="shared" si="6"/>
        <v>4711.5765125000016</v>
      </c>
      <c r="H61" s="10">
        <v>402.75348750000012</v>
      </c>
      <c r="I61" s="10">
        <f t="shared" si="1"/>
        <v>402.75348750000012</v>
      </c>
      <c r="J61" s="10">
        <f t="shared" si="7"/>
        <v>402.75348750000012</v>
      </c>
      <c r="K61">
        <v>30</v>
      </c>
      <c r="L61">
        <v>7.8750000000000001E-2</v>
      </c>
      <c r="M61" t="str">
        <f>VLOOKUP(C61,Lookup!B:C,2,0)</f>
        <v>Choctaw Landing</v>
      </c>
    </row>
    <row r="62" spans="2:13">
      <c r="B62" s="50">
        <f t="shared" si="8"/>
        <v>45991</v>
      </c>
      <c r="C62" s="6">
        <v>3312495</v>
      </c>
      <c r="D62">
        <v>2540249</v>
      </c>
      <c r="E62" s="3">
        <v>40826.94000000001</v>
      </c>
      <c r="F62" s="3">
        <v>4652.6399999999994</v>
      </c>
      <c r="G62" s="3">
        <f t="shared" si="6"/>
        <v>4286.2445999999991</v>
      </c>
      <c r="H62" s="10">
        <v>366.39539999999994</v>
      </c>
      <c r="I62" s="10">
        <f t="shared" si="1"/>
        <v>366.39539999999994</v>
      </c>
      <c r="J62" s="10">
        <f t="shared" si="7"/>
        <v>366.39539999999994</v>
      </c>
      <c r="K62">
        <v>30</v>
      </c>
      <c r="L62">
        <v>7.8750000000000001E-2</v>
      </c>
      <c r="M62" t="str">
        <f>VLOOKUP(C62,Lookup!B:C,2,0)</f>
        <v>Choctaw Landing</v>
      </c>
    </row>
    <row r="63" spans="2:13">
      <c r="B63" s="50">
        <f t="shared" si="8"/>
        <v>45991</v>
      </c>
      <c r="C63" s="6">
        <v>3312495</v>
      </c>
      <c r="D63">
        <v>2540253</v>
      </c>
      <c r="E63" s="3">
        <v>42226</v>
      </c>
      <c r="F63" s="3">
        <v>5726.8499999999985</v>
      </c>
      <c r="G63" s="3">
        <f t="shared" si="6"/>
        <v>5275.8605624999982</v>
      </c>
      <c r="H63" s="10">
        <v>450.98943749999989</v>
      </c>
      <c r="I63" s="10">
        <f t="shared" si="1"/>
        <v>450.98943749999989</v>
      </c>
      <c r="J63" s="10">
        <f t="shared" si="7"/>
        <v>450.98943749999989</v>
      </c>
      <c r="K63">
        <v>30</v>
      </c>
      <c r="L63">
        <v>7.8750000000000001E-2</v>
      </c>
      <c r="M63" t="str">
        <f>VLOOKUP(C63,Lookup!B:C,2,0)</f>
        <v>Choctaw Landing</v>
      </c>
    </row>
    <row r="64" spans="2:13">
      <c r="B64" s="50">
        <f t="shared" si="8"/>
        <v>45991</v>
      </c>
      <c r="C64" s="6">
        <v>3312907</v>
      </c>
      <c r="D64">
        <v>2648806</v>
      </c>
      <c r="E64" s="3">
        <v>0</v>
      </c>
      <c r="F64" s="3">
        <v>0</v>
      </c>
      <c r="G64" s="3">
        <v>0</v>
      </c>
      <c r="H64" s="10">
        <v>1650</v>
      </c>
      <c r="I64" s="10">
        <f t="shared" si="1"/>
        <v>1650</v>
      </c>
      <c r="J64" s="10">
        <f t="shared" ref="J64:J65" si="9">I64</f>
        <v>1650</v>
      </c>
      <c r="K64">
        <v>30</v>
      </c>
      <c r="L64">
        <v>0</v>
      </c>
      <c r="M64" t="str">
        <f>VLOOKUP(C64,Lookup!B:C,2,0)</f>
        <v>Native Village of Eklutna</v>
      </c>
    </row>
    <row r="65" spans="2:13">
      <c r="B65" s="50">
        <f t="shared" ref="B65:B66" si="10">B64</f>
        <v>45991</v>
      </c>
      <c r="C65" s="6">
        <v>3312907</v>
      </c>
      <c r="D65">
        <v>2648809</v>
      </c>
      <c r="E65" s="3">
        <v>0</v>
      </c>
      <c r="F65" s="3">
        <v>0</v>
      </c>
      <c r="G65" s="3">
        <v>0</v>
      </c>
      <c r="H65" s="10">
        <v>1650</v>
      </c>
      <c r="I65" s="10">
        <f t="shared" si="1"/>
        <v>1650</v>
      </c>
      <c r="J65" s="10">
        <f t="shared" si="9"/>
        <v>1650</v>
      </c>
      <c r="K65">
        <v>30</v>
      </c>
      <c r="L65">
        <v>0</v>
      </c>
      <c r="M65" t="str">
        <f>VLOOKUP(C65,Lookup!B:C,2,0)</f>
        <v>Native Village of Eklutna</v>
      </c>
    </row>
    <row r="66" spans="2:13">
      <c r="B66" s="50">
        <f t="shared" si="10"/>
        <v>45991</v>
      </c>
      <c r="C66" s="6">
        <v>3105048</v>
      </c>
      <c r="D66">
        <v>2251759</v>
      </c>
      <c r="E66" s="3">
        <v>163065</v>
      </c>
      <c r="F66" s="3">
        <v>8622.3799999999992</v>
      </c>
      <c r="G66" s="3">
        <v>7070.3515999999991</v>
      </c>
      <c r="H66" s="10">
        <v>1552.0283999999997</v>
      </c>
      <c r="I66" s="10">
        <f t="shared" si="1"/>
        <v>1552.0283999999997</v>
      </c>
      <c r="J66" s="10">
        <f t="shared" ref="J66:J129" si="11">I66</f>
        <v>1552.0283999999997</v>
      </c>
      <c r="K66">
        <v>30</v>
      </c>
      <c r="L66">
        <v>0.18</v>
      </c>
      <c r="M66" t="str">
        <f>VLOOKUP(C66,Lookup!B:C,2,0)</f>
        <v>Ho-Chunk Gaming Madison</v>
      </c>
    </row>
    <row r="67" spans="2:13">
      <c r="B67" s="50">
        <f t="shared" ref="B67:B130" si="12">B66</f>
        <v>45991</v>
      </c>
      <c r="C67" s="6">
        <v>3105048</v>
      </c>
      <c r="D67">
        <v>2640295</v>
      </c>
      <c r="E67" s="3">
        <v>188663.2</v>
      </c>
      <c r="F67" s="3">
        <v>7646.45</v>
      </c>
      <c r="G67" s="3">
        <v>6270.088999999999</v>
      </c>
      <c r="H67" s="10">
        <v>1376.3609999999999</v>
      </c>
      <c r="I67" s="10">
        <f t="shared" si="1"/>
        <v>1376.3609999999999</v>
      </c>
      <c r="J67" s="10">
        <f t="shared" si="11"/>
        <v>1376.3609999999999</v>
      </c>
      <c r="K67">
        <v>30</v>
      </c>
      <c r="L67">
        <v>0.18</v>
      </c>
      <c r="M67" t="str">
        <f>VLOOKUP(C67,Lookup!B:C,2,0)</f>
        <v>Ho-Chunk Gaming Madison</v>
      </c>
    </row>
    <row r="68" spans="2:13">
      <c r="B68" s="50">
        <f t="shared" si="12"/>
        <v>45991</v>
      </c>
      <c r="C68" s="6">
        <v>3105048</v>
      </c>
      <c r="D68">
        <v>2640167</v>
      </c>
      <c r="E68" s="3">
        <v>176033</v>
      </c>
      <c r="F68" s="3">
        <v>16652.95</v>
      </c>
      <c r="G68" s="3">
        <v>13655.419</v>
      </c>
      <c r="H68" s="10">
        <v>2997.5309999999999</v>
      </c>
      <c r="I68" s="10">
        <f t="shared" ref="I68:I131" si="13">H68</f>
        <v>2997.5309999999999</v>
      </c>
      <c r="J68" s="10">
        <f t="shared" si="11"/>
        <v>2997.5309999999999</v>
      </c>
      <c r="K68">
        <v>30</v>
      </c>
      <c r="L68">
        <v>0.18</v>
      </c>
      <c r="M68" t="str">
        <f>VLOOKUP(C68,Lookup!B:C,2,0)</f>
        <v>Ho-Chunk Gaming Madison</v>
      </c>
    </row>
    <row r="69" spans="2:13">
      <c r="B69" s="50">
        <f t="shared" si="12"/>
        <v>45991</v>
      </c>
      <c r="C69" s="6">
        <v>3105048</v>
      </c>
      <c r="D69">
        <v>2583764</v>
      </c>
      <c r="E69" s="3">
        <v>194344.25</v>
      </c>
      <c r="F69" s="3">
        <v>2600.29</v>
      </c>
      <c r="G69" s="3">
        <v>2132.2377999999999</v>
      </c>
      <c r="H69" s="10">
        <v>468.05219999999997</v>
      </c>
      <c r="I69" s="10">
        <f t="shared" si="13"/>
        <v>468.05219999999997</v>
      </c>
      <c r="J69" s="10">
        <f t="shared" si="11"/>
        <v>468.05219999999997</v>
      </c>
      <c r="K69">
        <v>30</v>
      </c>
      <c r="L69">
        <v>0.18</v>
      </c>
      <c r="M69" t="str">
        <f>VLOOKUP(C69,Lookup!B:C,2,0)</f>
        <v>Ho-Chunk Gaming Madison</v>
      </c>
    </row>
    <row r="70" spans="2:13">
      <c r="B70" s="50">
        <f t="shared" si="12"/>
        <v>45991</v>
      </c>
      <c r="C70" s="6">
        <v>3105048</v>
      </c>
      <c r="D70">
        <v>2640165</v>
      </c>
      <c r="E70" s="3">
        <v>179753.13</v>
      </c>
      <c r="F70" s="3">
        <v>7844.76</v>
      </c>
      <c r="G70" s="3">
        <v>6432.7031999999999</v>
      </c>
      <c r="H70" s="10">
        <v>1412.0568000000001</v>
      </c>
      <c r="I70" s="10">
        <f t="shared" si="13"/>
        <v>1412.0568000000001</v>
      </c>
      <c r="J70" s="10">
        <f t="shared" si="11"/>
        <v>1412.0568000000001</v>
      </c>
      <c r="K70">
        <v>30</v>
      </c>
      <c r="L70">
        <v>0.18</v>
      </c>
      <c r="M70" t="str">
        <f>VLOOKUP(C70,Lookup!B:C,2,0)</f>
        <v>Ho-Chunk Gaming Madison</v>
      </c>
    </row>
    <row r="71" spans="2:13">
      <c r="B71" s="50">
        <f t="shared" si="12"/>
        <v>45991</v>
      </c>
      <c r="C71" s="6">
        <v>3105048</v>
      </c>
      <c r="D71">
        <v>2380161</v>
      </c>
      <c r="E71" s="3">
        <v>356724.5</v>
      </c>
      <c r="F71" s="3">
        <v>17479.09</v>
      </c>
      <c r="G71" s="3">
        <v>14332.853799999999</v>
      </c>
      <c r="H71" s="10">
        <v>3146.2361999999998</v>
      </c>
      <c r="I71" s="10">
        <f t="shared" si="13"/>
        <v>3146.2361999999998</v>
      </c>
      <c r="J71" s="10">
        <f t="shared" si="11"/>
        <v>3146.2361999999998</v>
      </c>
      <c r="K71">
        <v>30</v>
      </c>
      <c r="L71">
        <v>0.18</v>
      </c>
      <c r="M71" t="str">
        <f>VLOOKUP(C71,Lookup!B:C,2,0)</f>
        <v>Ho-Chunk Gaming Madison</v>
      </c>
    </row>
    <row r="72" spans="2:13">
      <c r="B72" s="50">
        <f t="shared" si="12"/>
        <v>45991</v>
      </c>
      <c r="C72" s="6">
        <v>3105048</v>
      </c>
      <c r="D72">
        <v>2505008</v>
      </c>
      <c r="E72" s="3">
        <v>133070.25</v>
      </c>
      <c r="F72" s="3">
        <v>9299.0400000000009</v>
      </c>
      <c r="G72" s="3">
        <v>7625.2128000000002</v>
      </c>
      <c r="H72" s="10">
        <v>1673.8272000000002</v>
      </c>
      <c r="I72" s="10">
        <f t="shared" si="13"/>
        <v>1673.8272000000002</v>
      </c>
      <c r="J72" s="10">
        <f t="shared" si="11"/>
        <v>1673.8272000000002</v>
      </c>
      <c r="K72">
        <v>30</v>
      </c>
      <c r="L72">
        <v>0.18</v>
      </c>
      <c r="M72" t="str">
        <f>VLOOKUP(C72,Lookup!B:C,2,0)</f>
        <v>Ho-Chunk Gaming Madison</v>
      </c>
    </row>
    <row r="73" spans="2:13">
      <c r="B73" s="50">
        <f t="shared" si="12"/>
        <v>45991</v>
      </c>
      <c r="C73" s="6">
        <v>3105048</v>
      </c>
      <c r="D73">
        <v>2587093</v>
      </c>
      <c r="E73" s="3">
        <v>341690.6</v>
      </c>
      <c r="F73" s="3">
        <v>20756.330000000002</v>
      </c>
      <c r="G73" s="3">
        <v>17020.190600000002</v>
      </c>
      <c r="H73" s="10">
        <v>3736.1394</v>
      </c>
      <c r="I73" s="10">
        <f t="shared" si="13"/>
        <v>3736.1394</v>
      </c>
      <c r="J73" s="10">
        <f t="shared" si="11"/>
        <v>3736.1394</v>
      </c>
      <c r="K73">
        <v>30</v>
      </c>
      <c r="L73">
        <v>0.18</v>
      </c>
      <c r="M73" t="str">
        <f>VLOOKUP(C73,Lookup!B:C,2,0)</f>
        <v>Ho-Chunk Gaming Madison</v>
      </c>
    </row>
    <row r="74" spans="2:13">
      <c r="B74" s="50">
        <f t="shared" si="12"/>
        <v>45991</v>
      </c>
      <c r="C74" s="6">
        <v>3105048</v>
      </c>
      <c r="D74">
        <v>2583762</v>
      </c>
      <c r="E74" s="3">
        <v>216461.4</v>
      </c>
      <c r="F74" s="3">
        <v>5303.71</v>
      </c>
      <c r="G74" s="3">
        <v>4349.0421999999999</v>
      </c>
      <c r="H74" s="10">
        <v>954.66779999999994</v>
      </c>
      <c r="I74" s="10">
        <f t="shared" si="13"/>
        <v>954.66779999999994</v>
      </c>
      <c r="J74" s="10">
        <f t="shared" si="11"/>
        <v>954.66779999999994</v>
      </c>
      <c r="K74">
        <v>30</v>
      </c>
      <c r="L74">
        <v>0.18</v>
      </c>
      <c r="M74" t="str">
        <f>VLOOKUP(C74,Lookup!B:C,2,0)</f>
        <v>Ho-Chunk Gaming Madison</v>
      </c>
    </row>
    <row r="75" spans="2:13">
      <c r="B75" s="50">
        <f t="shared" si="12"/>
        <v>45991</v>
      </c>
      <c r="C75" s="6">
        <v>3105048</v>
      </c>
      <c r="D75">
        <v>2585467</v>
      </c>
      <c r="E75" s="3">
        <v>98727.75</v>
      </c>
      <c r="F75" s="3">
        <v>-1552.99</v>
      </c>
      <c r="G75" s="3">
        <v>-1273.4517999999998</v>
      </c>
      <c r="H75" s="10">
        <v>-279.53820000000002</v>
      </c>
      <c r="I75" s="10">
        <f t="shared" si="13"/>
        <v>-279.53820000000002</v>
      </c>
      <c r="J75" s="10">
        <f t="shared" si="11"/>
        <v>-279.53820000000002</v>
      </c>
      <c r="K75">
        <v>30</v>
      </c>
      <c r="L75">
        <v>0.18</v>
      </c>
      <c r="M75" t="str">
        <f>VLOOKUP(C75,Lookup!B:C,2,0)</f>
        <v>Ho-Chunk Gaming Madison</v>
      </c>
    </row>
    <row r="76" spans="2:13">
      <c r="B76" s="50">
        <f t="shared" si="12"/>
        <v>45991</v>
      </c>
      <c r="C76" s="6">
        <v>3105048</v>
      </c>
      <c r="D76">
        <v>2587086</v>
      </c>
      <c r="E76" s="3">
        <v>87647.4</v>
      </c>
      <c r="F76" s="3">
        <v>5098.45</v>
      </c>
      <c r="G76" s="3">
        <v>4180.7289999999994</v>
      </c>
      <c r="H76" s="10">
        <v>917.72099999999989</v>
      </c>
      <c r="I76" s="10">
        <f t="shared" si="13"/>
        <v>917.72099999999989</v>
      </c>
      <c r="J76" s="10">
        <f t="shared" si="11"/>
        <v>917.72099999999989</v>
      </c>
      <c r="K76">
        <v>30</v>
      </c>
      <c r="L76">
        <v>0.18</v>
      </c>
      <c r="M76" t="str">
        <f>VLOOKUP(C76,Lookup!B:C,2,0)</f>
        <v>Ho-Chunk Gaming Madison</v>
      </c>
    </row>
    <row r="77" spans="2:13">
      <c r="B77" s="50">
        <f t="shared" si="12"/>
        <v>45991</v>
      </c>
      <c r="C77" s="6">
        <v>3105048</v>
      </c>
      <c r="D77">
        <v>2476393</v>
      </c>
      <c r="E77" s="3">
        <v>83046.600000000006</v>
      </c>
      <c r="F77" s="3">
        <v>8032.6</v>
      </c>
      <c r="G77" s="3">
        <v>6586.732</v>
      </c>
      <c r="H77" s="10">
        <v>1445.8679999999999</v>
      </c>
      <c r="I77" s="10">
        <f t="shared" si="13"/>
        <v>1445.8679999999999</v>
      </c>
      <c r="J77" s="10">
        <f t="shared" si="11"/>
        <v>1445.8679999999999</v>
      </c>
      <c r="K77">
        <v>30</v>
      </c>
      <c r="L77">
        <v>0.18</v>
      </c>
      <c r="M77" t="str">
        <f>VLOOKUP(C77,Lookup!B:C,2,0)</f>
        <v>Ho-Chunk Gaming Madison</v>
      </c>
    </row>
    <row r="78" spans="2:13">
      <c r="B78" s="50">
        <f t="shared" si="12"/>
        <v>45991</v>
      </c>
      <c r="C78" s="6">
        <v>3105048</v>
      </c>
      <c r="D78">
        <v>2640291</v>
      </c>
      <c r="E78" s="3">
        <v>313760</v>
      </c>
      <c r="F78" s="3">
        <v>35440.93</v>
      </c>
      <c r="G78" s="3">
        <v>29061.562599999997</v>
      </c>
      <c r="H78" s="10">
        <v>6379.3674000000001</v>
      </c>
      <c r="I78" s="10">
        <f t="shared" si="13"/>
        <v>6379.3674000000001</v>
      </c>
      <c r="J78" s="10">
        <f t="shared" si="11"/>
        <v>6379.3674000000001</v>
      </c>
      <c r="K78">
        <v>30</v>
      </c>
      <c r="L78">
        <v>0.18</v>
      </c>
      <c r="M78" t="str">
        <f>VLOOKUP(C78,Lookup!B:C,2,0)</f>
        <v>Ho-Chunk Gaming Madison</v>
      </c>
    </row>
    <row r="79" spans="2:13">
      <c r="B79" s="50">
        <f t="shared" si="12"/>
        <v>45991</v>
      </c>
      <c r="C79" s="6">
        <v>3105048</v>
      </c>
      <c r="D79">
        <v>2615854</v>
      </c>
      <c r="E79" s="3">
        <v>212716</v>
      </c>
      <c r="F79" s="3">
        <v>9479.4599999999991</v>
      </c>
      <c r="G79" s="3">
        <v>7773.1571999999987</v>
      </c>
      <c r="H79" s="10">
        <v>1706.3027999999997</v>
      </c>
      <c r="I79" s="10">
        <f t="shared" si="13"/>
        <v>1706.3027999999997</v>
      </c>
      <c r="J79" s="10">
        <f t="shared" si="11"/>
        <v>1706.3027999999997</v>
      </c>
      <c r="K79">
        <v>30</v>
      </c>
      <c r="L79">
        <v>0.18</v>
      </c>
      <c r="M79" t="str">
        <f>VLOOKUP(C79,Lookup!B:C,2,0)</f>
        <v>Ho-Chunk Gaming Madison</v>
      </c>
    </row>
    <row r="80" spans="2:13">
      <c r="B80" s="50">
        <f t="shared" si="12"/>
        <v>45991</v>
      </c>
      <c r="C80" s="6">
        <v>3105048</v>
      </c>
      <c r="D80">
        <v>2476383</v>
      </c>
      <c r="E80" s="3">
        <v>158291.20000000001</v>
      </c>
      <c r="F80" s="3">
        <v>4577.8</v>
      </c>
      <c r="G80" s="3">
        <v>3753.7959999999998</v>
      </c>
      <c r="H80" s="10">
        <v>824.00400000000002</v>
      </c>
      <c r="I80" s="10">
        <f t="shared" si="13"/>
        <v>824.00400000000002</v>
      </c>
      <c r="J80" s="10">
        <f t="shared" si="11"/>
        <v>824.00400000000002</v>
      </c>
      <c r="K80">
        <v>30</v>
      </c>
      <c r="L80">
        <v>0.18</v>
      </c>
      <c r="M80" t="str">
        <f>VLOOKUP(C80,Lookup!B:C,2,0)</f>
        <v>Ho-Chunk Gaming Madison</v>
      </c>
    </row>
    <row r="81" spans="2:13">
      <c r="B81" s="50">
        <f t="shared" si="12"/>
        <v>45991</v>
      </c>
      <c r="C81" s="6">
        <v>3105048</v>
      </c>
      <c r="D81">
        <v>2640296</v>
      </c>
      <c r="E81" s="3">
        <v>119313.92</v>
      </c>
      <c r="F81" s="3">
        <v>5340.52</v>
      </c>
      <c r="G81" s="3">
        <v>4379.2264000000005</v>
      </c>
      <c r="H81" s="10">
        <v>961.29360000000008</v>
      </c>
      <c r="I81" s="10">
        <f t="shared" si="13"/>
        <v>961.29360000000008</v>
      </c>
      <c r="J81" s="10">
        <f t="shared" si="11"/>
        <v>961.29360000000008</v>
      </c>
      <c r="K81">
        <v>30</v>
      </c>
      <c r="L81">
        <v>0.18</v>
      </c>
      <c r="M81" t="str">
        <f>VLOOKUP(C81,Lookup!B:C,2,0)</f>
        <v>Ho-Chunk Gaming Madison</v>
      </c>
    </row>
    <row r="82" spans="2:13">
      <c r="B82" s="50">
        <f t="shared" si="12"/>
        <v>45991</v>
      </c>
      <c r="C82" s="6">
        <v>3105048</v>
      </c>
      <c r="D82">
        <v>2615856</v>
      </c>
      <c r="E82" s="3">
        <v>151408.20000000001</v>
      </c>
      <c r="F82" s="3">
        <v>9467.7000000000007</v>
      </c>
      <c r="G82" s="3">
        <v>7763.5140000000001</v>
      </c>
      <c r="H82" s="10">
        <v>1704.1860000000001</v>
      </c>
      <c r="I82" s="10">
        <f t="shared" si="13"/>
        <v>1704.1860000000001</v>
      </c>
      <c r="J82" s="10">
        <f t="shared" si="11"/>
        <v>1704.1860000000001</v>
      </c>
      <c r="K82">
        <v>30</v>
      </c>
      <c r="L82">
        <v>0.18</v>
      </c>
      <c r="M82" t="str">
        <f>VLOOKUP(C82,Lookup!B:C,2,0)</f>
        <v>Ho-Chunk Gaming Madison</v>
      </c>
    </row>
    <row r="83" spans="2:13">
      <c r="B83" s="50">
        <f t="shared" si="12"/>
        <v>45991</v>
      </c>
      <c r="C83" s="6">
        <v>3105048</v>
      </c>
      <c r="D83">
        <v>2476382</v>
      </c>
      <c r="E83" s="3">
        <v>147978.79</v>
      </c>
      <c r="F83" s="3">
        <v>3390.39</v>
      </c>
      <c r="G83" s="3">
        <v>2780.1197999999999</v>
      </c>
      <c r="H83" s="10">
        <v>610.27019999999993</v>
      </c>
      <c r="I83" s="10">
        <f t="shared" si="13"/>
        <v>610.27019999999993</v>
      </c>
      <c r="J83" s="10">
        <f t="shared" si="11"/>
        <v>610.27019999999993</v>
      </c>
      <c r="K83">
        <v>30</v>
      </c>
      <c r="L83">
        <v>0.18</v>
      </c>
      <c r="M83" t="str">
        <f>VLOOKUP(C83,Lookup!B:C,2,0)</f>
        <v>Ho-Chunk Gaming Madison</v>
      </c>
    </row>
    <row r="84" spans="2:13">
      <c r="B84" s="50">
        <f t="shared" si="12"/>
        <v>45991</v>
      </c>
      <c r="C84" s="6">
        <v>3105048</v>
      </c>
      <c r="D84">
        <v>2583763</v>
      </c>
      <c r="E84" s="3">
        <v>151347.45000000001</v>
      </c>
      <c r="F84" s="3">
        <v>7808.18</v>
      </c>
      <c r="G84" s="3">
        <v>6402.7075999999997</v>
      </c>
      <c r="H84" s="10">
        <v>1405.4724000000001</v>
      </c>
      <c r="I84" s="10">
        <f t="shared" si="13"/>
        <v>1405.4724000000001</v>
      </c>
      <c r="J84" s="10">
        <f t="shared" si="11"/>
        <v>1405.4724000000001</v>
      </c>
      <c r="K84">
        <v>30</v>
      </c>
      <c r="L84">
        <v>0.18</v>
      </c>
      <c r="M84" t="str">
        <f>VLOOKUP(C84,Lookup!B:C,2,0)</f>
        <v>Ho-Chunk Gaming Madison</v>
      </c>
    </row>
    <row r="85" spans="2:13">
      <c r="B85" s="50">
        <f t="shared" si="12"/>
        <v>45991</v>
      </c>
      <c r="C85" s="6">
        <v>3105048</v>
      </c>
      <c r="D85">
        <v>2221209</v>
      </c>
      <c r="E85" s="3">
        <v>657442.25</v>
      </c>
      <c r="F85" s="3">
        <v>13023.28</v>
      </c>
      <c r="G85" s="3">
        <v>10679.089599999999</v>
      </c>
      <c r="H85" s="10">
        <v>2344.1904</v>
      </c>
      <c r="I85" s="10">
        <f t="shared" si="13"/>
        <v>2344.1904</v>
      </c>
      <c r="J85" s="10">
        <f t="shared" si="11"/>
        <v>2344.1904</v>
      </c>
      <c r="K85">
        <v>30</v>
      </c>
      <c r="L85">
        <v>0.18</v>
      </c>
      <c r="M85" t="str">
        <f>VLOOKUP(C85,Lookup!B:C,2,0)</f>
        <v>Ho-Chunk Gaming Madison</v>
      </c>
    </row>
    <row r="86" spans="2:13">
      <c r="B86" s="50">
        <f t="shared" si="12"/>
        <v>45991</v>
      </c>
      <c r="C86" s="6">
        <v>3105048</v>
      </c>
      <c r="D86">
        <v>2587087</v>
      </c>
      <c r="E86" s="3">
        <v>51695.199999999997</v>
      </c>
      <c r="F86" s="3">
        <v>4167.05</v>
      </c>
      <c r="G86" s="3">
        <v>3416.9809999999998</v>
      </c>
      <c r="H86" s="10">
        <v>750.06899999999996</v>
      </c>
      <c r="I86" s="10">
        <f t="shared" si="13"/>
        <v>750.06899999999996</v>
      </c>
      <c r="J86" s="10">
        <f t="shared" si="11"/>
        <v>750.06899999999996</v>
      </c>
      <c r="K86">
        <v>30</v>
      </c>
      <c r="L86">
        <v>0.18</v>
      </c>
      <c r="M86" t="str">
        <f>VLOOKUP(C86,Lookup!B:C,2,0)</f>
        <v>Ho-Chunk Gaming Madison</v>
      </c>
    </row>
    <row r="87" spans="2:13">
      <c r="B87" s="50">
        <f t="shared" si="12"/>
        <v>45991</v>
      </c>
      <c r="C87" s="6">
        <v>3105048</v>
      </c>
      <c r="D87">
        <v>2476395</v>
      </c>
      <c r="E87" s="3">
        <v>185793.15</v>
      </c>
      <c r="F87" s="3">
        <v>7613.69</v>
      </c>
      <c r="G87" s="3">
        <v>6243.2257999999993</v>
      </c>
      <c r="H87" s="10">
        <v>1370.4641999999999</v>
      </c>
      <c r="I87" s="10">
        <f t="shared" si="13"/>
        <v>1370.4641999999999</v>
      </c>
      <c r="J87" s="10">
        <f t="shared" si="11"/>
        <v>1370.4641999999999</v>
      </c>
      <c r="K87">
        <v>30</v>
      </c>
      <c r="L87">
        <v>0.18</v>
      </c>
      <c r="M87" t="str">
        <f>VLOOKUP(C87,Lookup!B:C,2,0)</f>
        <v>Ho-Chunk Gaming Madison</v>
      </c>
    </row>
    <row r="88" spans="2:13">
      <c r="B88" s="50">
        <f t="shared" si="12"/>
        <v>45991</v>
      </c>
      <c r="C88" s="6">
        <v>3105048</v>
      </c>
      <c r="D88">
        <v>2476388</v>
      </c>
      <c r="E88" s="3">
        <v>137285</v>
      </c>
      <c r="F88" s="3">
        <v>12513.29</v>
      </c>
      <c r="G88" s="3">
        <v>10260.897800000001</v>
      </c>
      <c r="H88" s="10">
        <v>2252.3922000000002</v>
      </c>
      <c r="I88" s="10">
        <f t="shared" si="13"/>
        <v>2252.3922000000002</v>
      </c>
      <c r="J88" s="10">
        <f t="shared" si="11"/>
        <v>2252.3922000000002</v>
      </c>
      <c r="K88">
        <v>30</v>
      </c>
      <c r="L88">
        <v>0.18</v>
      </c>
      <c r="M88" t="str">
        <f>VLOOKUP(C88,Lookup!B:C,2,0)</f>
        <v>Ho-Chunk Gaming Madison</v>
      </c>
    </row>
    <row r="89" spans="2:13">
      <c r="B89" s="50">
        <f t="shared" si="12"/>
        <v>45991</v>
      </c>
      <c r="C89" s="6">
        <v>3105048</v>
      </c>
      <c r="D89">
        <v>2640300</v>
      </c>
      <c r="E89" s="3">
        <v>76302.16</v>
      </c>
      <c r="F89" s="3">
        <v>1868.6</v>
      </c>
      <c r="G89" s="3">
        <v>1532.2519999999997</v>
      </c>
      <c r="H89" s="10">
        <v>336.34799999999996</v>
      </c>
      <c r="I89" s="10">
        <f t="shared" si="13"/>
        <v>336.34799999999996</v>
      </c>
      <c r="J89" s="10">
        <f t="shared" si="11"/>
        <v>336.34799999999996</v>
      </c>
      <c r="K89">
        <v>30</v>
      </c>
      <c r="L89">
        <v>0.18</v>
      </c>
      <c r="M89" t="str">
        <f>VLOOKUP(C89,Lookup!B:C,2,0)</f>
        <v>Ho-Chunk Gaming Madison</v>
      </c>
    </row>
    <row r="90" spans="2:13">
      <c r="B90" s="50">
        <f t="shared" si="12"/>
        <v>45991</v>
      </c>
      <c r="C90" s="6">
        <v>3105048</v>
      </c>
      <c r="D90">
        <v>2587084</v>
      </c>
      <c r="E90" s="3">
        <v>86260.6</v>
      </c>
      <c r="F90" s="3">
        <v>2934.5</v>
      </c>
      <c r="G90" s="3">
        <v>2406.29</v>
      </c>
      <c r="H90" s="10">
        <v>528.21</v>
      </c>
      <c r="I90" s="10">
        <f t="shared" si="13"/>
        <v>528.21</v>
      </c>
      <c r="J90" s="10">
        <f t="shared" si="11"/>
        <v>528.21</v>
      </c>
      <c r="K90">
        <v>30</v>
      </c>
      <c r="L90">
        <v>0.18</v>
      </c>
      <c r="M90" t="str">
        <f>VLOOKUP(C90,Lookup!B:C,2,0)</f>
        <v>Ho-Chunk Gaming Madison</v>
      </c>
    </row>
    <row r="91" spans="2:13">
      <c r="B91" s="50">
        <f t="shared" si="12"/>
        <v>45991</v>
      </c>
      <c r="C91" s="6">
        <v>3105048</v>
      </c>
      <c r="D91">
        <v>2640384</v>
      </c>
      <c r="E91" s="3">
        <v>417311.48</v>
      </c>
      <c r="F91" s="3">
        <v>32720.35</v>
      </c>
      <c r="G91" s="3">
        <v>26830.686999999998</v>
      </c>
      <c r="H91" s="10">
        <v>5889.6629999999996</v>
      </c>
      <c r="I91" s="10">
        <f t="shared" si="13"/>
        <v>5889.6629999999996</v>
      </c>
      <c r="J91" s="10">
        <f t="shared" si="11"/>
        <v>5889.6629999999996</v>
      </c>
      <c r="K91">
        <v>30</v>
      </c>
      <c r="L91">
        <v>0.18</v>
      </c>
      <c r="M91" t="str">
        <f>VLOOKUP(C91,Lookup!B:C,2,0)</f>
        <v>Ho-Chunk Gaming Madison</v>
      </c>
    </row>
    <row r="92" spans="2:13">
      <c r="B92" s="50">
        <f t="shared" si="12"/>
        <v>45991</v>
      </c>
      <c r="C92" s="6">
        <v>3105048</v>
      </c>
      <c r="D92">
        <v>2476376</v>
      </c>
      <c r="E92" s="3">
        <v>326139</v>
      </c>
      <c r="F92" s="3">
        <v>17538.38</v>
      </c>
      <c r="G92" s="3">
        <v>14381.471600000001</v>
      </c>
      <c r="H92" s="10">
        <v>3156.9084000000003</v>
      </c>
      <c r="I92" s="10">
        <f t="shared" si="13"/>
        <v>3156.9084000000003</v>
      </c>
      <c r="J92" s="10">
        <f t="shared" si="11"/>
        <v>3156.9084000000003</v>
      </c>
      <c r="K92">
        <v>30</v>
      </c>
      <c r="L92">
        <v>0.18</v>
      </c>
      <c r="M92" t="str">
        <f>VLOOKUP(C92,Lookup!B:C,2,0)</f>
        <v>Ho-Chunk Gaming Madison</v>
      </c>
    </row>
    <row r="93" spans="2:13">
      <c r="B93" s="50">
        <f t="shared" si="12"/>
        <v>45991</v>
      </c>
      <c r="C93" s="6">
        <v>3105048</v>
      </c>
      <c r="D93">
        <v>2585464</v>
      </c>
      <c r="E93" s="3">
        <v>123504</v>
      </c>
      <c r="F93" s="3">
        <v>-8845.48</v>
      </c>
      <c r="G93" s="3">
        <v>-7253.2935999999991</v>
      </c>
      <c r="H93" s="10">
        <v>-1592.1863999999998</v>
      </c>
      <c r="I93" s="10">
        <f t="shared" si="13"/>
        <v>-1592.1863999999998</v>
      </c>
      <c r="J93" s="10">
        <f t="shared" si="11"/>
        <v>-1592.1863999999998</v>
      </c>
      <c r="K93">
        <v>30</v>
      </c>
      <c r="L93">
        <v>0.18</v>
      </c>
      <c r="M93" t="str">
        <f>VLOOKUP(C93,Lookup!B:C,2,0)</f>
        <v>Ho-Chunk Gaming Madison</v>
      </c>
    </row>
    <row r="94" spans="2:13">
      <c r="B94" s="50">
        <f t="shared" si="12"/>
        <v>45991</v>
      </c>
      <c r="C94" s="6">
        <v>3105048</v>
      </c>
      <c r="D94">
        <v>2585465</v>
      </c>
      <c r="E94" s="3">
        <v>63785.25</v>
      </c>
      <c r="F94" s="3">
        <v>5209.8500000000004</v>
      </c>
      <c r="G94" s="3">
        <v>4272.0770000000002</v>
      </c>
      <c r="H94" s="10">
        <v>937.77300000000002</v>
      </c>
      <c r="I94" s="10">
        <f t="shared" si="13"/>
        <v>937.77300000000002</v>
      </c>
      <c r="J94" s="10">
        <f t="shared" si="11"/>
        <v>937.77300000000002</v>
      </c>
      <c r="K94">
        <v>30</v>
      </c>
      <c r="L94">
        <v>0.18</v>
      </c>
      <c r="M94" t="str">
        <f>VLOOKUP(C94,Lookup!B:C,2,0)</f>
        <v>Ho-Chunk Gaming Madison</v>
      </c>
    </row>
    <row r="95" spans="2:13">
      <c r="B95" s="50">
        <f t="shared" si="12"/>
        <v>45991</v>
      </c>
      <c r="C95" s="6">
        <v>3105048</v>
      </c>
      <c r="D95">
        <v>2615860</v>
      </c>
      <c r="E95" s="3">
        <v>21078.6</v>
      </c>
      <c r="F95" s="3">
        <v>1645.48</v>
      </c>
      <c r="G95" s="3">
        <v>1349.2936</v>
      </c>
      <c r="H95" s="10">
        <v>296.18639999999999</v>
      </c>
      <c r="I95" s="10">
        <f t="shared" si="13"/>
        <v>296.18639999999999</v>
      </c>
      <c r="J95" s="10">
        <f t="shared" si="11"/>
        <v>296.18639999999999</v>
      </c>
      <c r="K95">
        <v>30</v>
      </c>
      <c r="L95">
        <v>0.18</v>
      </c>
      <c r="M95" t="str">
        <f>VLOOKUP(C95,Lookup!B:C,2,0)</f>
        <v>Ho-Chunk Gaming Madison</v>
      </c>
    </row>
    <row r="96" spans="2:13">
      <c r="B96" s="50">
        <f t="shared" si="12"/>
        <v>45991</v>
      </c>
      <c r="C96" s="6">
        <v>3105048</v>
      </c>
      <c r="D96">
        <v>2585471</v>
      </c>
      <c r="E96" s="3">
        <v>361761.6</v>
      </c>
      <c r="F96" s="3">
        <v>20253.09</v>
      </c>
      <c r="G96" s="3">
        <v>16607.533799999997</v>
      </c>
      <c r="H96" s="10">
        <v>3645.5562</v>
      </c>
      <c r="I96" s="10">
        <f t="shared" si="13"/>
        <v>3645.5562</v>
      </c>
      <c r="J96" s="10">
        <f t="shared" si="11"/>
        <v>3645.5562</v>
      </c>
      <c r="K96">
        <v>30</v>
      </c>
      <c r="L96">
        <v>0.18</v>
      </c>
      <c r="M96" t="str">
        <f>VLOOKUP(C96,Lookup!B:C,2,0)</f>
        <v>Ho-Chunk Gaming Madison</v>
      </c>
    </row>
    <row r="97" spans="2:13">
      <c r="B97" s="50">
        <f t="shared" si="12"/>
        <v>45991</v>
      </c>
      <c r="C97" s="6">
        <v>3105048</v>
      </c>
      <c r="D97">
        <v>2615859</v>
      </c>
      <c r="E97" s="3">
        <v>89090.8</v>
      </c>
      <c r="F97" s="3">
        <v>-7049.08</v>
      </c>
      <c r="G97" s="3">
        <v>-5780.2455999999993</v>
      </c>
      <c r="H97" s="10">
        <v>-1268.8344</v>
      </c>
      <c r="I97" s="10">
        <f t="shared" si="13"/>
        <v>-1268.8344</v>
      </c>
      <c r="J97" s="10">
        <f t="shared" si="11"/>
        <v>-1268.8344</v>
      </c>
      <c r="K97">
        <v>30</v>
      </c>
      <c r="L97">
        <v>0.18</v>
      </c>
      <c r="M97" t="str">
        <f>VLOOKUP(C97,Lookup!B:C,2,0)</f>
        <v>Ho-Chunk Gaming Madison</v>
      </c>
    </row>
    <row r="98" spans="2:13">
      <c r="B98" s="50">
        <f t="shared" si="12"/>
        <v>45991</v>
      </c>
      <c r="C98" s="6">
        <v>3105048</v>
      </c>
      <c r="D98">
        <v>2640164</v>
      </c>
      <c r="E98" s="3">
        <v>153228.26999999999</v>
      </c>
      <c r="F98" s="3">
        <v>5986.7</v>
      </c>
      <c r="G98" s="3">
        <v>4909.0939999999991</v>
      </c>
      <c r="H98" s="10">
        <v>1077.606</v>
      </c>
      <c r="I98" s="10">
        <f t="shared" si="13"/>
        <v>1077.606</v>
      </c>
      <c r="J98" s="10">
        <f t="shared" si="11"/>
        <v>1077.606</v>
      </c>
      <c r="K98">
        <v>30</v>
      </c>
      <c r="L98">
        <v>0.18</v>
      </c>
      <c r="M98" t="str">
        <f>VLOOKUP(C98,Lookup!B:C,2,0)</f>
        <v>Ho-Chunk Gaming Madison</v>
      </c>
    </row>
    <row r="99" spans="2:13">
      <c r="B99" s="50">
        <f t="shared" si="12"/>
        <v>45991</v>
      </c>
      <c r="C99" s="6">
        <v>3105048</v>
      </c>
      <c r="D99">
        <v>2615858</v>
      </c>
      <c r="E99" s="3">
        <v>181410.8</v>
      </c>
      <c r="F99" s="3">
        <v>15497.47</v>
      </c>
      <c r="G99" s="3">
        <v>12707.925399999998</v>
      </c>
      <c r="H99" s="10">
        <v>2789.5445999999997</v>
      </c>
      <c r="I99" s="10">
        <f t="shared" si="13"/>
        <v>2789.5445999999997</v>
      </c>
      <c r="J99" s="10">
        <f t="shared" si="11"/>
        <v>2789.5445999999997</v>
      </c>
      <c r="K99">
        <v>30</v>
      </c>
      <c r="L99">
        <v>0.18</v>
      </c>
      <c r="M99" t="str">
        <f>VLOOKUP(C99,Lookup!B:C,2,0)</f>
        <v>Ho-Chunk Gaming Madison</v>
      </c>
    </row>
    <row r="100" spans="2:13">
      <c r="B100" s="50">
        <f t="shared" si="12"/>
        <v>45991</v>
      </c>
      <c r="C100" s="6">
        <v>3105048</v>
      </c>
      <c r="D100">
        <v>2585472</v>
      </c>
      <c r="E100" s="3">
        <v>304671.2</v>
      </c>
      <c r="F100" s="3">
        <v>24238.55</v>
      </c>
      <c r="G100" s="3">
        <v>19875.610999999997</v>
      </c>
      <c r="H100" s="10">
        <v>4362.9389999999994</v>
      </c>
      <c r="I100" s="10">
        <f t="shared" si="13"/>
        <v>4362.9389999999994</v>
      </c>
      <c r="J100" s="10">
        <f t="shared" si="11"/>
        <v>4362.9389999999994</v>
      </c>
      <c r="K100">
        <v>30</v>
      </c>
      <c r="L100">
        <v>0.18</v>
      </c>
      <c r="M100" t="str">
        <f>VLOOKUP(C100,Lookup!B:C,2,0)</f>
        <v>Ho-Chunk Gaming Madison</v>
      </c>
    </row>
    <row r="101" spans="2:13">
      <c r="B101" s="50">
        <f t="shared" si="12"/>
        <v>45991</v>
      </c>
      <c r="C101" s="6">
        <v>3105048</v>
      </c>
      <c r="D101">
        <v>2587091</v>
      </c>
      <c r="E101" s="3">
        <v>158789.70000000001</v>
      </c>
      <c r="F101" s="3">
        <v>10188.64</v>
      </c>
      <c r="G101" s="3">
        <v>8354.6847999999991</v>
      </c>
      <c r="H101" s="10">
        <v>1833.9551999999999</v>
      </c>
      <c r="I101" s="10">
        <f t="shared" si="13"/>
        <v>1833.9551999999999</v>
      </c>
      <c r="J101" s="10">
        <f t="shared" si="11"/>
        <v>1833.9551999999999</v>
      </c>
      <c r="K101">
        <v>30</v>
      </c>
      <c r="L101">
        <v>0.18</v>
      </c>
      <c r="M101" t="str">
        <f>VLOOKUP(C101,Lookup!B:C,2,0)</f>
        <v>Ho-Chunk Gaming Madison</v>
      </c>
    </row>
    <row r="102" spans="2:13">
      <c r="B102" s="50">
        <f t="shared" si="12"/>
        <v>45991</v>
      </c>
      <c r="C102" s="6">
        <v>3105048</v>
      </c>
      <c r="D102">
        <v>2587096</v>
      </c>
      <c r="E102" s="3">
        <v>312951.71999999997</v>
      </c>
      <c r="F102" s="3">
        <v>7735.63</v>
      </c>
      <c r="G102" s="3">
        <v>6343.2165999999997</v>
      </c>
      <c r="H102" s="10">
        <v>1392.4133999999999</v>
      </c>
      <c r="I102" s="10">
        <f t="shared" si="13"/>
        <v>1392.4133999999999</v>
      </c>
      <c r="J102" s="10">
        <f t="shared" si="11"/>
        <v>1392.4133999999999</v>
      </c>
      <c r="K102">
        <v>30</v>
      </c>
      <c r="L102">
        <v>0.18</v>
      </c>
      <c r="M102" t="str">
        <f>VLOOKUP(C102,Lookup!B:C,2,0)</f>
        <v>Ho-Chunk Gaming Madison</v>
      </c>
    </row>
    <row r="103" spans="2:13">
      <c r="B103" s="50">
        <f t="shared" si="12"/>
        <v>45991</v>
      </c>
      <c r="C103" s="6">
        <v>3105048</v>
      </c>
      <c r="D103">
        <v>2587089</v>
      </c>
      <c r="E103" s="3">
        <v>110080.2</v>
      </c>
      <c r="F103" s="3">
        <v>1581.58</v>
      </c>
      <c r="G103" s="3">
        <v>1296.8955999999998</v>
      </c>
      <c r="H103" s="10">
        <v>284.68439999999998</v>
      </c>
      <c r="I103" s="10">
        <f t="shared" si="13"/>
        <v>284.68439999999998</v>
      </c>
      <c r="J103" s="10">
        <f t="shared" si="11"/>
        <v>284.68439999999998</v>
      </c>
      <c r="K103">
        <v>30</v>
      </c>
      <c r="L103">
        <v>0.18</v>
      </c>
      <c r="M103" t="str">
        <f>VLOOKUP(C103,Lookup!B:C,2,0)</f>
        <v>Ho-Chunk Gaming Madison</v>
      </c>
    </row>
    <row r="104" spans="2:13">
      <c r="B104" s="50">
        <f t="shared" si="12"/>
        <v>45991</v>
      </c>
      <c r="C104" s="6">
        <v>3105048</v>
      </c>
      <c r="D104">
        <v>2631734</v>
      </c>
      <c r="E104" s="3">
        <v>167149.54999999999</v>
      </c>
      <c r="F104" s="3">
        <v>2628.96</v>
      </c>
      <c r="G104" s="3">
        <v>2155.7471999999998</v>
      </c>
      <c r="H104" s="10">
        <v>473.21280000000002</v>
      </c>
      <c r="I104" s="10">
        <f t="shared" si="13"/>
        <v>473.21280000000002</v>
      </c>
      <c r="J104" s="10">
        <f t="shared" si="11"/>
        <v>473.21280000000002</v>
      </c>
      <c r="K104">
        <v>30</v>
      </c>
      <c r="L104">
        <v>0.18</v>
      </c>
      <c r="M104" t="str">
        <f>VLOOKUP(C104,Lookup!B:C,2,0)</f>
        <v>Ho-Chunk Gaming Madison</v>
      </c>
    </row>
    <row r="105" spans="2:13">
      <c r="B105" s="50">
        <f t="shared" si="12"/>
        <v>45991</v>
      </c>
      <c r="C105" s="6">
        <v>3105048</v>
      </c>
      <c r="D105">
        <v>2640301</v>
      </c>
      <c r="E105" s="3">
        <v>182981.04</v>
      </c>
      <c r="F105" s="3">
        <v>5536.09</v>
      </c>
      <c r="G105" s="3">
        <v>4539.5937999999996</v>
      </c>
      <c r="H105" s="10">
        <v>996.49620000000004</v>
      </c>
      <c r="I105" s="10">
        <f t="shared" si="13"/>
        <v>996.49620000000004</v>
      </c>
      <c r="J105" s="10">
        <f t="shared" si="11"/>
        <v>996.49620000000004</v>
      </c>
      <c r="K105">
        <v>30</v>
      </c>
      <c r="L105">
        <v>0.18</v>
      </c>
      <c r="M105" t="str">
        <f>VLOOKUP(C105,Lookup!B:C,2,0)</f>
        <v>Ho-Chunk Gaming Madison</v>
      </c>
    </row>
    <row r="106" spans="2:13">
      <c r="B106" s="50">
        <f t="shared" si="12"/>
        <v>45991</v>
      </c>
      <c r="C106" s="6">
        <v>3105048</v>
      </c>
      <c r="D106">
        <v>2640380</v>
      </c>
      <c r="E106" s="3">
        <v>175051.4</v>
      </c>
      <c r="F106" s="3">
        <v>9241.15</v>
      </c>
      <c r="G106" s="3">
        <v>7577.7429999999995</v>
      </c>
      <c r="H106" s="10">
        <v>1663.4069999999999</v>
      </c>
      <c r="I106" s="10">
        <f t="shared" si="13"/>
        <v>1663.4069999999999</v>
      </c>
      <c r="J106" s="10">
        <f t="shared" si="11"/>
        <v>1663.4069999999999</v>
      </c>
      <c r="K106">
        <v>30</v>
      </c>
      <c r="L106">
        <v>0.18</v>
      </c>
      <c r="M106" t="str">
        <f>VLOOKUP(C106,Lookup!B:C,2,0)</f>
        <v>Ho-Chunk Gaming Madison</v>
      </c>
    </row>
    <row r="107" spans="2:13">
      <c r="B107" s="50">
        <f t="shared" si="12"/>
        <v>45991</v>
      </c>
      <c r="C107" s="6">
        <v>3105048</v>
      </c>
      <c r="D107">
        <v>2640381</v>
      </c>
      <c r="E107" s="3">
        <v>209327.58</v>
      </c>
      <c r="F107" s="3">
        <v>7688.5</v>
      </c>
      <c r="G107" s="3">
        <v>6304.57</v>
      </c>
      <c r="H107" s="10">
        <v>1383.9299999999998</v>
      </c>
      <c r="I107" s="10">
        <f t="shared" si="13"/>
        <v>1383.9299999999998</v>
      </c>
      <c r="J107" s="10">
        <f t="shared" si="11"/>
        <v>1383.9299999999998</v>
      </c>
      <c r="K107">
        <v>30</v>
      </c>
      <c r="L107">
        <v>0.18</v>
      </c>
      <c r="M107" t="str">
        <f>VLOOKUP(C107,Lookup!B:C,2,0)</f>
        <v>Ho-Chunk Gaming Madison</v>
      </c>
    </row>
    <row r="108" spans="2:13">
      <c r="B108" s="50">
        <f t="shared" si="12"/>
        <v>45991</v>
      </c>
      <c r="C108" s="6">
        <v>3105048</v>
      </c>
      <c r="D108">
        <v>2587079</v>
      </c>
      <c r="E108" s="3">
        <v>208230</v>
      </c>
      <c r="F108" s="3">
        <v>1458.55</v>
      </c>
      <c r="G108" s="3">
        <v>1196.011</v>
      </c>
      <c r="H108" s="10">
        <v>262.53899999999999</v>
      </c>
      <c r="I108" s="10">
        <f t="shared" si="13"/>
        <v>262.53899999999999</v>
      </c>
      <c r="J108" s="10">
        <f t="shared" si="11"/>
        <v>262.53899999999999</v>
      </c>
      <c r="K108">
        <v>30</v>
      </c>
      <c r="L108">
        <v>0.18</v>
      </c>
      <c r="M108" t="str">
        <f>VLOOKUP(C108,Lookup!B:C,2,0)</f>
        <v>Ho-Chunk Gaming Madison</v>
      </c>
    </row>
    <row r="109" spans="2:13">
      <c r="B109" s="50">
        <f t="shared" si="12"/>
        <v>45991</v>
      </c>
      <c r="C109" s="6">
        <v>3105048</v>
      </c>
      <c r="D109">
        <v>2476397</v>
      </c>
      <c r="E109" s="3">
        <v>151242.85</v>
      </c>
      <c r="F109" s="3">
        <v>7597.82</v>
      </c>
      <c r="G109" s="3">
        <v>6230.2123999999994</v>
      </c>
      <c r="H109" s="10">
        <v>1367.6075999999998</v>
      </c>
      <c r="I109" s="10">
        <f t="shared" si="13"/>
        <v>1367.6075999999998</v>
      </c>
      <c r="J109" s="10">
        <f t="shared" si="11"/>
        <v>1367.6075999999998</v>
      </c>
      <c r="K109">
        <v>30</v>
      </c>
      <c r="L109">
        <v>0.18</v>
      </c>
      <c r="M109" t="str">
        <f>VLOOKUP(C109,Lookup!B:C,2,0)</f>
        <v>Ho-Chunk Gaming Madison</v>
      </c>
    </row>
    <row r="110" spans="2:13">
      <c r="B110" s="50">
        <f t="shared" si="12"/>
        <v>45991</v>
      </c>
      <c r="C110" s="6">
        <v>3105048</v>
      </c>
      <c r="D110">
        <v>2640168</v>
      </c>
      <c r="E110" s="3">
        <v>171263</v>
      </c>
      <c r="F110" s="3">
        <v>5300.31</v>
      </c>
      <c r="G110" s="3">
        <v>4346.2542000000003</v>
      </c>
      <c r="H110" s="10">
        <v>954.05580000000009</v>
      </c>
      <c r="I110" s="10">
        <f t="shared" si="13"/>
        <v>954.05580000000009</v>
      </c>
      <c r="J110" s="10">
        <f t="shared" si="11"/>
        <v>954.05580000000009</v>
      </c>
      <c r="K110">
        <v>30</v>
      </c>
      <c r="L110">
        <v>0.18</v>
      </c>
      <c r="M110" t="str">
        <f>VLOOKUP(C110,Lookup!B:C,2,0)</f>
        <v>Ho-Chunk Gaming Madison</v>
      </c>
    </row>
    <row r="111" spans="2:13">
      <c r="B111" s="50">
        <f t="shared" si="12"/>
        <v>45991</v>
      </c>
      <c r="C111" s="6">
        <v>3105048</v>
      </c>
      <c r="D111">
        <v>2587090</v>
      </c>
      <c r="E111" s="3">
        <v>257820.08</v>
      </c>
      <c r="F111" s="3">
        <v>10463.9</v>
      </c>
      <c r="G111" s="3">
        <v>8580.3979999999992</v>
      </c>
      <c r="H111" s="10">
        <v>1883.502</v>
      </c>
      <c r="I111" s="10">
        <f t="shared" si="13"/>
        <v>1883.502</v>
      </c>
      <c r="J111" s="10">
        <f t="shared" si="11"/>
        <v>1883.502</v>
      </c>
      <c r="K111">
        <v>30</v>
      </c>
      <c r="L111">
        <v>0.18</v>
      </c>
      <c r="M111" t="str">
        <f>VLOOKUP(C111,Lookup!B:C,2,0)</f>
        <v>Ho-Chunk Gaming Madison</v>
      </c>
    </row>
    <row r="112" spans="2:13">
      <c r="B112" s="50">
        <f t="shared" si="12"/>
        <v>45991</v>
      </c>
      <c r="C112" s="6">
        <v>3105048</v>
      </c>
      <c r="D112">
        <v>2640290</v>
      </c>
      <c r="E112" s="3">
        <v>273060.2</v>
      </c>
      <c r="F112" s="3">
        <v>13947.66</v>
      </c>
      <c r="G112" s="3">
        <v>11437.081199999999</v>
      </c>
      <c r="H112" s="10">
        <v>2510.5787999999998</v>
      </c>
      <c r="I112" s="10">
        <f t="shared" si="13"/>
        <v>2510.5787999999998</v>
      </c>
      <c r="J112" s="10">
        <f t="shared" si="11"/>
        <v>2510.5787999999998</v>
      </c>
      <c r="K112">
        <v>30</v>
      </c>
      <c r="L112">
        <v>0.18</v>
      </c>
      <c r="M112" t="str">
        <f>VLOOKUP(C112,Lookup!B:C,2,0)</f>
        <v>Ho-Chunk Gaming Madison</v>
      </c>
    </row>
    <row r="113" spans="2:13">
      <c r="B113" s="50">
        <f t="shared" si="12"/>
        <v>45991</v>
      </c>
      <c r="C113" s="6">
        <v>3105048</v>
      </c>
      <c r="D113">
        <v>2476384</v>
      </c>
      <c r="E113" s="3">
        <v>146263.20000000001</v>
      </c>
      <c r="F113" s="3">
        <v>12708.3</v>
      </c>
      <c r="G113" s="3">
        <v>10420.805999999999</v>
      </c>
      <c r="H113" s="10">
        <v>2287.4939999999997</v>
      </c>
      <c r="I113" s="10">
        <f t="shared" si="13"/>
        <v>2287.4939999999997</v>
      </c>
      <c r="J113" s="10">
        <f t="shared" si="11"/>
        <v>2287.4939999999997</v>
      </c>
      <c r="K113">
        <v>30</v>
      </c>
      <c r="L113">
        <v>0.18</v>
      </c>
      <c r="M113" t="str">
        <f>VLOOKUP(C113,Lookup!B:C,2,0)</f>
        <v>Ho-Chunk Gaming Madison</v>
      </c>
    </row>
    <row r="114" spans="2:13">
      <c r="B114" s="50">
        <f t="shared" si="12"/>
        <v>45991</v>
      </c>
      <c r="C114" s="6">
        <v>3105048</v>
      </c>
      <c r="D114">
        <v>2585469</v>
      </c>
      <c r="E114" s="3">
        <v>188560.68</v>
      </c>
      <c r="F114" s="3">
        <v>18673.98</v>
      </c>
      <c r="G114" s="3">
        <v>15312.663599999998</v>
      </c>
      <c r="H114" s="10">
        <v>3361.3163999999997</v>
      </c>
      <c r="I114" s="10">
        <f t="shared" si="13"/>
        <v>3361.3163999999997</v>
      </c>
      <c r="J114" s="10">
        <f t="shared" si="11"/>
        <v>3361.3163999999997</v>
      </c>
      <c r="K114">
        <v>30</v>
      </c>
      <c r="L114">
        <v>0.18</v>
      </c>
      <c r="M114" t="str">
        <f>VLOOKUP(C114,Lookup!B:C,2,0)</f>
        <v>Ho-Chunk Gaming Madison</v>
      </c>
    </row>
    <row r="115" spans="2:13">
      <c r="B115" s="50">
        <f t="shared" si="12"/>
        <v>45991</v>
      </c>
      <c r="C115" s="6">
        <v>3105048</v>
      </c>
      <c r="D115">
        <v>2585466</v>
      </c>
      <c r="E115" s="3">
        <v>146919.75</v>
      </c>
      <c r="F115" s="3">
        <v>5650.46</v>
      </c>
      <c r="G115" s="3">
        <v>4633.3771999999999</v>
      </c>
      <c r="H115" s="10">
        <v>1017.0828</v>
      </c>
      <c r="I115" s="10">
        <f t="shared" si="13"/>
        <v>1017.0828</v>
      </c>
      <c r="J115" s="10">
        <f t="shared" si="11"/>
        <v>1017.0828</v>
      </c>
      <c r="K115">
        <v>30</v>
      </c>
      <c r="L115">
        <v>0.18</v>
      </c>
      <c r="M115" t="str">
        <f>VLOOKUP(C115,Lookup!B:C,2,0)</f>
        <v>Ho-Chunk Gaming Madison</v>
      </c>
    </row>
    <row r="116" spans="2:13">
      <c r="B116" s="50">
        <f t="shared" si="12"/>
        <v>45991</v>
      </c>
      <c r="C116" s="6">
        <v>3105048</v>
      </c>
      <c r="D116">
        <v>2587078</v>
      </c>
      <c r="E116" s="3">
        <v>204508.75</v>
      </c>
      <c r="F116" s="3">
        <v>6137.88</v>
      </c>
      <c r="G116" s="3">
        <v>5033.0616</v>
      </c>
      <c r="H116" s="10">
        <v>1104.8183999999999</v>
      </c>
      <c r="I116" s="10">
        <f t="shared" si="13"/>
        <v>1104.8183999999999</v>
      </c>
      <c r="J116" s="10">
        <f t="shared" si="11"/>
        <v>1104.8183999999999</v>
      </c>
      <c r="K116">
        <v>30</v>
      </c>
      <c r="L116">
        <v>0.18</v>
      </c>
      <c r="M116" t="str">
        <f>VLOOKUP(C116,Lookup!B:C,2,0)</f>
        <v>Ho-Chunk Gaming Madison</v>
      </c>
    </row>
    <row r="117" spans="2:13">
      <c r="B117" s="50">
        <f t="shared" si="12"/>
        <v>45991</v>
      </c>
      <c r="C117" s="6">
        <v>3105048</v>
      </c>
      <c r="D117">
        <v>2485287</v>
      </c>
      <c r="E117" s="3">
        <v>283716.81</v>
      </c>
      <c r="F117" s="3">
        <v>12230.34</v>
      </c>
      <c r="G117" s="3">
        <v>10028.8788</v>
      </c>
      <c r="H117" s="10">
        <v>2201.4611999999997</v>
      </c>
      <c r="I117" s="10">
        <f t="shared" si="13"/>
        <v>2201.4611999999997</v>
      </c>
      <c r="J117" s="10">
        <f t="shared" si="11"/>
        <v>2201.4611999999997</v>
      </c>
      <c r="K117">
        <v>30</v>
      </c>
      <c r="L117">
        <v>0.18</v>
      </c>
      <c r="M117" t="str">
        <f>VLOOKUP(C117,Lookup!B:C,2,0)</f>
        <v>Ho-Chunk Gaming Madison</v>
      </c>
    </row>
    <row r="118" spans="2:13">
      <c r="B118" s="50">
        <f t="shared" si="12"/>
        <v>45991</v>
      </c>
      <c r="C118" s="6">
        <v>3105048</v>
      </c>
      <c r="D118">
        <v>2640286</v>
      </c>
      <c r="E118" s="3">
        <v>439088.52</v>
      </c>
      <c r="F118" s="3">
        <v>19077.32</v>
      </c>
      <c r="G118" s="3">
        <v>15643.402399999999</v>
      </c>
      <c r="H118" s="10">
        <v>3433.9175999999998</v>
      </c>
      <c r="I118" s="10">
        <f t="shared" si="13"/>
        <v>3433.9175999999998</v>
      </c>
      <c r="J118" s="10">
        <f t="shared" si="11"/>
        <v>3433.9175999999998</v>
      </c>
      <c r="K118">
        <v>30</v>
      </c>
      <c r="L118">
        <v>0.18</v>
      </c>
      <c r="M118" t="str">
        <f>VLOOKUP(C118,Lookup!B:C,2,0)</f>
        <v>Ho-Chunk Gaming Madison</v>
      </c>
    </row>
    <row r="119" spans="2:13">
      <c r="B119" s="50">
        <f t="shared" si="12"/>
        <v>45991</v>
      </c>
      <c r="C119" s="6">
        <v>3105048</v>
      </c>
      <c r="D119">
        <v>2476381</v>
      </c>
      <c r="E119" s="3">
        <v>211446.16</v>
      </c>
      <c r="F119" s="3">
        <v>4737.67</v>
      </c>
      <c r="G119" s="3">
        <v>3884.8894</v>
      </c>
      <c r="H119" s="10">
        <v>852.78059999999994</v>
      </c>
      <c r="I119" s="10">
        <f t="shared" si="13"/>
        <v>852.78059999999994</v>
      </c>
      <c r="J119" s="10">
        <f t="shared" si="11"/>
        <v>852.78059999999994</v>
      </c>
      <c r="K119">
        <v>30</v>
      </c>
      <c r="L119">
        <v>0.18</v>
      </c>
      <c r="M119" t="str">
        <f>VLOOKUP(C119,Lookup!B:C,2,0)</f>
        <v>Ho-Chunk Gaming Madison</v>
      </c>
    </row>
    <row r="120" spans="2:13">
      <c r="B120" s="50">
        <f t="shared" si="12"/>
        <v>45991</v>
      </c>
      <c r="C120" s="6">
        <v>3105048</v>
      </c>
      <c r="D120">
        <v>2640166</v>
      </c>
      <c r="E120" s="3">
        <v>186350</v>
      </c>
      <c r="F120" s="3">
        <v>11659.51</v>
      </c>
      <c r="G120" s="3">
        <v>9560.7981999999993</v>
      </c>
      <c r="H120" s="10">
        <v>2098.7118</v>
      </c>
      <c r="I120" s="10">
        <f t="shared" si="13"/>
        <v>2098.7118</v>
      </c>
      <c r="J120" s="10">
        <f t="shared" si="11"/>
        <v>2098.7118</v>
      </c>
      <c r="K120">
        <v>30</v>
      </c>
      <c r="L120">
        <v>0.18</v>
      </c>
      <c r="M120" t="str">
        <f>VLOOKUP(C120,Lookup!B:C,2,0)</f>
        <v>Ho-Chunk Gaming Madison</v>
      </c>
    </row>
    <row r="121" spans="2:13">
      <c r="B121" s="50">
        <f t="shared" si="12"/>
        <v>45991</v>
      </c>
      <c r="C121" s="6">
        <v>3105048</v>
      </c>
      <c r="D121">
        <v>2640287</v>
      </c>
      <c r="E121" s="3">
        <v>312243.12</v>
      </c>
      <c r="F121" s="3">
        <v>-17492.900000000001</v>
      </c>
      <c r="G121" s="3">
        <v>-14344.178</v>
      </c>
      <c r="H121" s="10">
        <v>-3148.7220000000002</v>
      </c>
      <c r="I121" s="10">
        <f t="shared" si="13"/>
        <v>-3148.7220000000002</v>
      </c>
      <c r="J121" s="10">
        <f t="shared" si="11"/>
        <v>-3148.7220000000002</v>
      </c>
      <c r="K121">
        <v>30</v>
      </c>
      <c r="L121">
        <v>0.18</v>
      </c>
      <c r="M121" t="str">
        <f>VLOOKUP(C121,Lookup!B:C,2,0)</f>
        <v>Ho-Chunk Gaming Madison</v>
      </c>
    </row>
    <row r="122" spans="2:13">
      <c r="B122" s="50">
        <f t="shared" si="12"/>
        <v>45991</v>
      </c>
      <c r="C122" s="6">
        <v>3105048</v>
      </c>
      <c r="D122">
        <v>2640292</v>
      </c>
      <c r="E122" s="3">
        <v>178573.2</v>
      </c>
      <c r="F122" s="3">
        <v>-16897.86</v>
      </c>
      <c r="G122" s="3">
        <v>-13856.245199999999</v>
      </c>
      <c r="H122" s="10">
        <v>-3041.6147999999998</v>
      </c>
      <c r="I122" s="10">
        <f t="shared" si="13"/>
        <v>-3041.6147999999998</v>
      </c>
      <c r="J122" s="10">
        <f t="shared" si="11"/>
        <v>-3041.6147999999998</v>
      </c>
      <c r="K122">
        <v>30</v>
      </c>
      <c r="L122">
        <v>0.18</v>
      </c>
      <c r="M122" t="str">
        <f>VLOOKUP(C122,Lookup!B:C,2,0)</f>
        <v>Ho-Chunk Gaming Madison</v>
      </c>
    </row>
    <row r="123" spans="2:13">
      <c r="B123" s="50">
        <f t="shared" si="12"/>
        <v>45991</v>
      </c>
      <c r="C123" s="6">
        <v>3105048</v>
      </c>
      <c r="D123">
        <v>2485286</v>
      </c>
      <c r="E123" s="3">
        <v>189589</v>
      </c>
      <c r="F123" s="3">
        <v>18798.34</v>
      </c>
      <c r="G123" s="3">
        <v>15414.638799999999</v>
      </c>
      <c r="H123" s="10">
        <v>3383.7012</v>
      </c>
      <c r="I123" s="10">
        <f t="shared" si="13"/>
        <v>3383.7012</v>
      </c>
      <c r="J123" s="10">
        <f t="shared" si="11"/>
        <v>3383.7012</v>
      </c>
      <c r="K123">
        <v>30</v>
      </c>
      <c r="L123">
        <v>0.18</v>
      </c>
      <c r="M123" t="str">
        <f>VLOOKUP(C123,Lookup!B:C,2,0)</f>
        <v>Ho-Chunk Gaming Madison</v>
      </c>
    </row>
    <row r="124" spans="2:13">
      <c r="B124" s="50">
        <f t="shared" si="12"/>
        <v>45991</v>
      </c>
      <c r="C124" s="6">
        <v>3105048</v>
      </c>
      <c r="D124">
        <v>2476390</v>
      </c>
      <c r="E124" s="3">
        <v>171082</v>
      </c>
      <c r="F124" s="3">
        <v>11525.33</v>
      </c>
      <c r="G124" s="3">
        <v>9450.7705999999998</v>
      </c>
      <c r="H124" s="10">
        <v>2074.5594000000001</v>
      </c>
      <c r="I124" s="10">
        <f t="shared" si="13"/>
        <v>2074.5594000000001</v>
      </c>
      <c r="J124" s="10">
        <f t="shared" si="11"/>
        <v>2074.5594000000001</v>
      </c>
      <c r="K124">
        <v>30</v>
      </c>
      <c r="L124">
        <v>0.18</v>
      </c>
      <c r="M124" t="str">
        <f>VLOOKUP(C124,Lookup!B:C,2,0)</f>
        <v>Ho-Chunk Gaming Madison</v>
      </c>
    </row>
    <row r="125" spans="2:13">
      <c r="B125" s="50">
        <f t="shared" si="12"/>
        <v>45991</v>
      </c>
      <c r="C125" s="6">
        <v>3105048</v>
      </c>
      <c r="D125">
        <v>2587095</v>
      </c>
      <c r="E125" s="3">
        <v>246562.88</v>
      </c>
      <c r="F125" s="3">
        <v>10825.03</v>
      </c>
      <c r="G125" s="3">
        <v>8876.5246000000006</v>
      </c>
      <c r="H125" s="10">
        <v>1948.5054</v>
      </c>
      <c r="I125" s="10">
        <f t="shared" si="13"/>
        <v>1948.5054</v>
      </c>
      <c r="J125" s="10">
        <f t="shared" si="11"/>
        <v>1948.5054</v>
      </c>
      <c r="K125">
        <v>30</v>
      </c>
      <c r="L125">
        <v>0.18</v>
      </c>
      <c r="M125" t="str">
        <f>VLOOKUP(C125,Lookup!B:C,2,0)</f>
        <v>Ho-Chunk Gaming Madison</v>
      </c>
    </row>
    <row r="126" spans="2:13">
      <c r="B126" s="50">
        <f t="shared" si="12"/>
        <v>45991</v>
      </c>
      <c r="C126" s="6">
        <v>3105048</v>
      </c>
      <c r="D126">
        <v>2476375</v>
      </c>
      <c r="E126" s="3">
        <v>112659.39</v>
      </c>
      <c r="F126" s="3">
        <v>10905.98</v>
      </c>
      <c r="G126" s="3">
        <v>8942.9035999999996</v>
      </c>
      <c r="H126" s="10">
        <v>1963.0763999999999</v>
      </c>
      <c r="I126" s="10">
        <f t="shared" si="13"/>
        <v>1963.0763999999999</v>
      </c>
      <c r="J126" s="10">
        <f t="shared" si="11"/>
        <v>1963.0763999999999</v>
      </c>
      <c r="K126">
        <v>30</v>
      </c>
      <c r="L126">
        <v>0.18</v>
      </c>
      <c r="M126" t="str">
        <f>VLOOKUP(C126,Lookup!B:C,2,0)</f>
        <v>Ho-Chunk Gaming Madison</v>
      </c>
    </row>
    <row r="127" spans="2:13">
      <c r="B127" s="50">
        <f t="shared" si="12"/>
        <v>45991</v>
      </c>
      <c r="C127" s="6">
        <v>3105048</v>
      </c>
      <c r="D127">
        <v>2640298</v>
      </c>
      <c r="E127" s="3">
        <v>217787.68</v>
      </c>
      <c r="F127" s="3">
        <v>-1668.68</v>
      </c>
      <c r="G127" s="3">
        <v>-1368.3176000000001</v>
      </c>
      <c r="H127" s="10">
        <v>-300.36239999999998</v>
      </c>
      <c r="I127" s="10">
        <f t="shared" si="13"/>
        <v>-300.36239999999998</v>
      </c>
      <c r="J127" s="10">
        <f t="shared" si="11"/>
        <v>-300.36239999999998</v>
      </c>
      <c r="K127">
        <v>30</v>
      </c>
      <c r="L127">
        <v>0.18</v>
      </c>
      <c r="M127" t="str">
        <f>VLOOKUP(C127,Lookup!B:C,2,0)</f>
        <v>Ho-Chunk Gaming Madison</v>
      </c>
    </row>
    <row r="128" spans="2:13">
      <c r="B128" s="50">
        <f t="shared" si="12"/>
        <v>45991</v>
      </c>
      <c r="C128" s="6">
        <v>3105048</v>
      </c>
      <c r="D128">
        <v>2587085</v>
      </c>
      <c r="E128" s="3">
        <v>59365.2</v>
      </c>
      <c r="F128" s="3">
        <v>4190.95</v>
      </c>
      <c r="G128" s="3">
        <v>3436.5789999999997</v>
      </c>
      <c r="H128" s="10">
        <v>754.37099999999998</v>
      </c>
      <c r="I128" s="10">
        <f t="shared" si="13"/>
        <v>754.37099999999998</v>
      </c>
      <c r="J128" s="10">
        <f t="shared" si="11"/>
        <v>754.37099999999998</v>
      </c>
      <c r="K128">
        <v>30</v>
      </c>
      <c r="L128">
        <v>0.18</v>
      </c>
      <c r="M128" t="str">
        <f>VLOOKUP(C128,Lookup!B:C,2,0)</f>
        <v>Ho-Chunk Gaming Madison</v>
      </c>
    </row>
    <row r="129" spans="2:13">
      <c r="B129" s="50">
        <f t="shared" si="12"/>
        <v>45991</v>
      </c>
      <c r="C129" s="6">
        <v>3105048</v>
      </c>
      <c r="D129">
        <v>2615857</v>
      </c>
      <c r="E129" s="3">
        <v>211750.39999999999</v>
      </c>
      <c r="F129" s="3">
        <v>24728.66</v>
      </c>
      <c r="G129" s="3">
        <v>20277.501199999999</v>
      </c>
      <c r="H129" s="10">
        <v>4451.1588000000002</v>
      </c>
      <c r="I129" s="10">
        <f t="shared" si="13"/>
        <v>4451.1588000000002</v>
      </c>
      <c r="J129" s="10">
        <f t="shared" si="11"/>
        <v>4451.1588000000002</v>
      </c>
      <c r="K129">
        <v>30</v>
      </c>
      <c r="L129">
        <v>0.18</v>
      </c>
      <c r="M129" t="str">
        <f>VLOOKUP(C129,Lookup!B:C,2,0)</f>
        <v>Ho-Chunk Gaming Madison</v>
      </c>
    </row>
    <row r="130" spans="2:13">
      <c r="B130" s="50">
        <f t="shared" si="12"/>
        <v>45991</v>
      </c>
      <c r="C130" s="6">
        <v>3105048</v>
      </c>
      <c r="D130">
        <v>2225542</v>
      </c>
      <c r="E130" s="3">
        <v>576266.5</v>
      </c>
      <c r="F130" s="3">
        <v>24639.77</v>
      </c>
      <c r="G130" s="3">
        <v>20204.611399999998</v>
      </c>
      <c r="H130" s="10">
        <v>4435.1585999999998</v>
      </c>
      <c r="I130" s="10">
        <f t="shared" si="13"/>
        <v>4435.1585999999998</v>
      </c>
      <c r="J130" s="10">
        <f t="shared" ref="J130:J193" si="14">I130</f>
        <v>4435.1585999999998</v>
      </c>
      <c r="K130">
        <v>30</v>
      </c>
      <c r="L130">
        <v>0.18</v>
      </c>
      <c r="M130" t="str">
        <f>VLOOKUP(C130,Lookup!B:C,2,0)</f>
        <v>Ho-Chunk Gaming Madison</v>
      </c>
    </row>
    <row r="131" spans="2:13">
      <c r="B131" s="50">
        <f t="shared" ref="B131:B194" si="15">B130</f>
        <v>45991</v>
      </c>
      <c r="C131" s="6">
        <v>3105048</v>
      </c>
      <c r="D131">
        <v>2476394</v>
      </c>
      <c r="E131" s="3">
        <v>154713.60000000001</v>
      </c>
      <c r="F131" s="3">
        <v>5242.49</v>
      </c>
      <c r="G131" s="3">
        <v>4298.8417999999992</v>
      </c>
      <c r="H131" s="10">
        <v>943.64819999999997</v>
      </c>
      <c r="I131" s="10">
        <f t="shared" si="13"/>
        <v>943.64819999999997</v>
      </c>
      <c r="J131" s="10">
        <f t="shared" si="14"/>
        <v>943.64819999999997</v>
      </c>
      <c r="K131">
        <v>30</v>
      </c>
      <c r="L131">
        <v>0.18</v>
      </c>
      <c r="M131" t="str">
        <f>VLOOKUP(C131,Lookup!B:C,2,0)</f>
        <v>Ho-Chunk Gaming Madison</v>
      </c>
    </row>
    <row r="132" spans="2:13">
      <c r="B132" s="50">
        <f t="shared" si="15"/>
        <v>45991</v>
      </c>
      <c r="C132" s="6">
        <v>3105048</v>
      </c>
      <c r="D132">
        <v>2476392</v>
      </c>
      <c r="E132" s="3">
        <v>208049.6</v>
      </c>
      <c r="F132" s="3">
        <v>12031.4</v>
      </c>
      <c r="G132" s="3">
        <v>9865.7479999999996</v>
      </c>
      <c r="H132" s="10">
        <v>2165.652</v>
      </c>
      <c r="I132" s="10">
        <f t="shared" ref="I132:I195" si="16">H132</f>
        <v>2165.652</v>
      </c>
      <c r="J132" s="10">
        <f t="shared" si="14"/>
        <v>2165.652</v>
      </c>
      <c r="K132">
        <v>30</v>
      </c>
      <c r="L132">
        <v>0.18</v>
      </c>
      <c r="M132" t="str">
        <f>VLOOKUP(C132,Lookup!B:C,2,0)</f>
        <v>Ho-Chunk Gaming Madison</v>
      </c>
    </row>
    <row r="133" spans="2:13">
      <c r="B133" s="50">
        <f t="shared" si="15"/>
        <v>45991</v>
      </c>
      <c r="C133" s="6">
        <v>3105048</v>
      </c>
      <c r="D133">
        <v>2459832</v>
      </c>
      <c r="E133" s="3">
        <v>64643.4</v>
      </c>
      <c r="F133" s="3">
        <v>3452.43</v>
      </c>
      <c r="G133" s="3">
        <v>2830.9925999999996</v>
      </c>
      <c r="H133" s="10">
        <v>621.43739999999991</v>
      </c>
      <c r="I133" s="10">
        <f t="shared" si="16"/>
        <v>621.43739999999991</v>
      </c>
      <c r="J133" s="10">
        <f t="shared" si="14"/>
        <v>621.43739999999991</v>
      </c>
      <c r="K133">
        <v>30</v>
      </c>
      <c r="L133">
        <v>0.18</v>
      </c>
      <c r="M133" t="str">
        <f>VLOOKUP(C133,Lookup!B:C,2,0)</f>
        <v>Ho-Chunk Gaming Madison</v>
      </c>
    </row>
    <row r="134" spans="2:13">
      <c r="B134" s="50">
        <f t="shared" si="15"/>
        <v>45991</v>
      </c>
      <c r="C134" s="6">
        <v>3105048</v>
      </c>
      <c r="D134">
        <v>2640297</v>
      </c>
      <c r="E134" s="3">
        <v>108224.16</v>
      </c>
      <c r="F134" s="3">
        <v>5388.9</v>
      </c>
      <c r="G134" s="3">
        <v>4418.8979999999992</v>
      </c>
      <c r="H134" s="10">
        <v>970.00199999999995</v>
      </c>
      <c r="I134" s="10">
        <f t="shared" si="16"/>
        <v>970.00199999999995</v>
      </c>
      <c r="J134" s="10">
        <f t="shared" si="14"/>
        <v>970.00199999999995</v>
      </c>
      <c r="K134">
        <v>30</v>
      </c>
      <c r="L134">
        <v>0.18</v>
      </c>
      <c r="M134" t="str">
        <f>VLOOKUP(C134,Lookup!B:C,2,0)</f>
        <v>Ho-Chunk Gaming Madison</v>
      </c>
    </row>
    <row r="135" spans="2:13">
      <c r="B135" s="50">
        <f t="shared" si="15"/>
        <v>45991</v>
      </c>
      <c r="C135" s="6">
        <v>3105048</v>
      </c>
      <c r="D135">
        <v>2640163</v>
      </c>
      <c r="E135" s="3">
        <v>175680.82</v>
      </c>
      <c r="F135" s="3">
        <v>11714.69</v>
      </c>
      <c r="G135" s="3">
        <v>9606.0457999999999</v>
      </c>
      <c r="H135" s="10">
        <v>2108.6442000000002</v>
      </c>
      <c r="I135" s="10">
        <f t="shared" si="16"/>
        <v>2108.6442000000002</v>
      </c>
      <c r="J135" s="10">
        <f t="shared" si="14"/>
        <v>2108.6442000000002</v>
      </c>
      <c r="K135">
        <v>30</v>
      </c>
      <c r="L135">
        <v>0.18</v>
      </c>
      <c r="M135" t="str">
        <f>VLOOKUP(C135,Lookup!B:C,2,0)</f>
        <v>Ho-Chunk Gaming Madison</v>
      </c>
    </row>
    <row r="136" spans="2:13">
      <c r="B136" s="50">
        <f t="shared" si="15"/>
        <v>45991</v>
      </c>
      <c r="C136" s="6">
        <v>3105048</v>
      </c>
      <c r="D136">
        <v>2587080</v>
      </c>
      <c r="E136" s="3">
        <v>226158.75</v>
      </c>
      <c r="F136" s="3">
        <v>10197.26</v>
      </c>
      <c r="G136" s="3">
        <v>8361.7531999999992</v>
      </c>
      <c r="H136" s="10">
        <v>1835.5067999999999</v>
      </c>
      <c r="I136" s="10">
        <f t="shared" si="16"/>
        <v>1835.5067999999999</v>
      </c>
      <c r="J136" s="10">
        <f t="shared" si="14"/>
        <v>1835.5067999999999</v>
      </c>
      <c r="K136">
        <v>30</v>
      </c>
      <c r="L136">
        <v>0.18</v>
      </c>
      <c r="M136" t="str">
        <f>VLOOKUP(C136,Lookup!B:C,2,0)</f>
        <v>Ho-Chunk Gaming Madison</v>
      </c>
    </row>
    <row r="137" spans="2:13">
      <c r="B137" s="50">
        <f t="shared" si="15"/>
        <v>45991</v>
      </c>
      <c r="C137" s="6">
        <v>3105048</v>
      </c>
      <c r="D137">
        <v>2585462</v>
      </c>
      <c r="E137" s="3">
        <v>110261.25</v>
      </c>
      <c r="F137" s="3">
        <v>-4026.47</v>
      </c>
      <c r="G137" s="3">
        <v>-3301.7053999999998</v>
      </c>
      <c r="H137" s="10">
        <v>-724.76459999999997</v>
      </c>
      <c r="I137" s="10">
        <f t="shared" si="16"/>
        <v>-724.76459999999997</v>
      </c>
      <c r="J137" s="10">
        <f t="shared" si="14"/>
        <v>-724.76459999999997</v>
      </c>
      <c r="K137">
        <v>30</v>
      </c>
      <c r="L137">
        <v>0.18</v>
      </c>
      <c r="M137" t="str">
        <f>VLOOKUP(C137,Lookup!B:C,2,0)</f>
        <v>Ho-Chunk Gaming Madison</v>
      </c>
    </row>
    <row r="138" spans="2:13">
      <c r="B138" s="50">
        <f t="shared" si="15"/>
        <v>45991</v>
      </c>
      <c r="C138" s="6">
        <v>3105048</v>
      </c>
      <c r="D138">
        <v>2380265</v>
      </c>
      <c r="E138" s="3">
        <v>158713.20000000001</v>
      </c>
      <c r="F138" s="3">
        <v>7985.74</v>
      </c>
      <c r="G138" s="3">
        <v>6548.3067999999994</v>
      </c>
      <c r="H138" s="10">
        <v>1437.4331999999999</v>
      </c>
      <c r="I138" s="10">
        <f t="shared" si="16"/>
        <v>1437.4331999999999</v>
      </c>
      <c r="J138" s="10">
        <f t="shared" si="14"/>
        <v>1437.4331999999999</v>
      </c>
      <c r="K138">
        <v>30</v>
      </c>
      <c r="L138">
        <v>0.18</v>
      </c>
      <c r="M138" t="str">
        <f>VLOOKUP(C138,Lookup!B:C,2,0)</f>
        <v>Ho-Chunk Gaming Madison</v>
      </c>
    </row>
    <row r="139" spans="2:13">
      <c r="B139" s="50">
        <f t="shared" si="15"/>
        <v>45991</v>
      </c>
      <c r="C139" s="6">
        <v>3105048</v>
      </c>
      <c r="D139">
        <v>2615861</v>
      </c>
      <c r="E139" s="3">
        <v>200900.6</v>
      </c>
      <c r="F139" s="3">
        <v>12378.95</v>
      </c>
      <c r="G139" s="3">
        <v>10150.739</v>
      </c>
      <c r="H139" s="10">
        <v>2228.2110000000002</v>
      </c>
      <c r="I139" s="10">
        <f t="shared" si="16"/>
        <v>2228.2110000000002</v>
      </c>
      <c r="J139" s="10">
        <f t="shared" si="14"/>
        <v>2228.2110000000002</v>
      </c>
      <c r="K139">
        <v>30</v>
      </c>
      <c r="L139">
        <v>0.18</v>
      </c>
      <c r="M139" t="str">
        <f>VLOOKUP(C139,Lookup!B:C,2,0)</f>
        <v>Ho-Chunk Gaming Madison</v>
      </c>
    </row>
    <row r="140" spans="2:13">
      <c r="B140" s="50">
        <f t="shared" si="15"/>
        <v>45991</v>
      </c>
      <c r="C140" s="6">
        <v>3105048</v>
      </c>
      <c r="D140">
        <v>2640379</v>
      </c>
      <c r="E140" s="3">
        <v>198779.36</v>
      </c>
      <c r="F140" s="3">
        <v>12374.73</v>
      </c>
      <c r="G140" s="3">
        <v>10147.2786</v>
      </c>
      <c r="H140" s="10">
        <v>2227.4513999999999</v>
      </c>
      <c r="I140" s="10">
        <f t="shared" si="16"/>
        <v>2227.4513999999999</v>
      </c>
      <c r="J140" s="10">
        <f t="shared" si="14"/>
        <v>2227.4513999999999</v>
      </c>
      <c r="K140">
        <v>30</v>
      </c>
      <c r="L140">
        <v>0.18</v>
      </c>
      <c r="M140" t="str">
        <f>VLOOKUP(C140,Lookup!B:C,2,0)</f>
        <v>Ho-Chunk Gaming Madison</v>
      </c>
    </row>
    <row r="141" spans="2:13">
      <c r="B141" s="50">
        <f t="shared" si="15"/>
        <v>45991</v>
      </c>
      <c r="C141" s="6">
        <v>3105048</v>
      </c>
      <c r="D141">
        <v>2640383</v>
      </c>
      <c r="E141" s="3">
        <v>351316.16</v>
      </c>
      <c r="F141" s="3">
        <v>24291.98</v>
      </c>
      <c r="G141" s="3">
        <v>19919.423599999998</v>
      </c>
      <c r="H141" s="10">
        <v>4372.5563999999995</v>
      </c>
      <c r="I141" s="10">
        <f t="shared" si="16"/>
        <v>4372.5563999999995</v>
      </c>
      <c r="J141" s="10">
        <f t="shared" si="14"/>
        <v>4372.5563999999995</v>
      </c>
      <c r="K141">
        <v>30</v>
      </c>
      <c r="L141">
        <v>0.18</v>
      </c>
      <c r="M141" t="str">
        <f>VLOOKUP(C141,Lookup!B:C,2,0)</f>
        <v>Ho-Chunk Gaming Madison</v>
      </c>
    </row>
    <row r="142" spans="2:13">
      <c r="B142" s="50">
        <f t="shared" si="15"/>
        <v>45991</v>
      </c>
      <c r="C142" s="6">
        <v>3105048</v>
      </c>
      <c r="D142">
        <v>2615855</v>
      </c>
      <c r="E142" s="3">
        <v>176737.8</v>
      </c>
      <c r="F142" s="3">
        <v>4325.54</v>
      </c>
      <c r="G142" s="3">
        <v>3546.9427999999998</v>
      </c>
      <c r="H142" s="10">
        <v>778.59719999999993</v>
      </c>
      <c r="I142" s="10">
        <f t="shared" si="16"/>
        <v>778.59719999999993</v>
      </c>
      <c r="J142" s="10">
        <f t="shared" si="14"/>
        <v>778.59719999999993</v>
      </c>
      <c r="K142">
        <v>30</v>
      </c>
      <c r="L142">
        <v>0.18</v>
      </c>
      <c r="M142" t="str">
        <f>VLOOKUP(C142,Lookup!B:C,2,0)</f>
        <v>Ho-Chunk Gaming Madison</v>
      </c>
    </row>
    <row r="143" spans="2:13">
      <c r="B143" s="50">
        <f t="shared" si="15"/>
        <v>45991</v>
      </c>
      <c r="C143" s="6">
        <v>3105048</v>
      </c>
      <c r="D143">
        <v>2476398</v>
      </c>
      <c r="E143" s="3">
        <v>313280.69</v>
      </c>
      <c r="F143" s="3">
        <v>10535.42</v>
      </c>
      <c r="G143" s="3">
        <v>8639.0443999999989</v>
      </c>
      <c r="H143" s="10">
        <v>1896.3755999999998</v>
      </c>
      <c r="I143" s="10">
        <f t="shared" si="16"/>
        <v>1896.3755999999998</v>
      </c>
      <c r="J143" s="10">
        <f t="shared" si="14"/>
        <v>1896.3755999999998</v>
      </c>
      <c r="K143">
        <v>30</v>
      </c>
      <c r="L143">
        <v>0.18</v>
      </c>
      <c r="M143" t="str">
        <f>VLOOKUP(C143,Lookup!B:C,2,0)</f>
        <v>Ho-Chunk Gaming Madison</v>
      </c>
    </row>
    <row r="144" spans="2:13">
      <c r="B144" s="50">
        <f t="shared" si="15"/>
        <v>45991</v>
      </c>
      <c r="C144" s="6">
        <v>3105048</v>
      </c>
      <c r="D144">
        <v>2476387</v>
      </c>
      <c r="E144" s="3">
        <v>288865.15000000002</v>
      </c>
      <c r="F144" s="3">
        <v>7215.67</v>
      </c>
      <c r="G144" s="3">
        <v>5916.8494000000001</v>
      </c>
      <c r="H144" s="10">
        <v>1298.8206</v>
      </c>
      <c r="I144" s="10">
        <f t="shared" si="16"/>
        <v>1298.8206</v>
      </c>
      <c r="J144" s="10">
        <f t="shared" si="14"/>
        <v>1298.8206</v>
      </c>
      <c r="K144">
        <v>30</v>
      </c>
      <c r="L144">
        <v>0.18</v>
      </c>
      <c r="M144" t="str">
        <f>VLOOKUP(C144,Lookup!B:C,2,0)</f>
        <v>Ho-Chunk Gaming Madison</v>
      </c>
    </row>
    <row r="145" spans="2:13">
      <c r="B145" s="50">
        <f t="shared" si="15"/>
        <v>45991</v>
      </c>
      <c r="C145" s="6">
        <v>3105048</v>
      </c>
      <c r="D145">
        <v>2459829</v>
      </c>
      <c r="E145" s="3">
        <v>109291.68</v>
      </c>
      <c r="F145" s="3">
        <v>4023.1</v>
      </c>
      <c r="G145" s="3">
        <v>3298.9419999999996</v>
      </c>
      <c r="H145" s="10">
        <v>724.1579999999999</v>
      </c>
      <c r="I145" s="10">
        <f t="shared" si="16"/>
        <v>724.1579999999999</v>
      </c>
      <c r="J145" s="10">
        <f t="shared" si="14"/>
        <v>724.1579999999999</v>
      </c>
      <c r="K145">
        <v>30</v>
      </c>
      <c r="L145">
        <v>0.18</v>
      </c>
      <c r="M145" t="str">
        <f>VLOOKUP(C145,Lookup!B:C,2,0)</f>
        <v>Ho-Chunk Gaming Madison</v>
      </c>
    </row>
    <row r="146" spans="2:13">
      <c r="B146" s="50">
        <f t="shared" si="15"/>
        <v>45991</v>
      </c>
      <c r="C146" s="6">
        <v>3105048</v>
      </c>
      <c r="D146">
        <v>2476386</v>
      </c>
      <c r="E146" s="3">
        <v>177765.92</v>
      </c>
      <c r="F146" s="3">
        <v>6154.94</v>
      </c>
      <c r="G146" s="3">
        <v>5047.0507999999991</v>
      </c>
      <c r="H146" s="10">
        <v>1107.8891999999998</v>
      </c>
      <c r="I146" s="10">
        <f t="shared" si="16"/>
        <v>1107.8891999999998</v>
      </c>
      <c r="J146" s="10">
        <f t="shared" si="14"/>
        <v>1107.8891999999998</v>
      </c>
      <c r="K146">
        <v>30</v>
      </c>
      <c r="L146">
        <v>0.18</v>
      </c>
      <c r="M146" t="str">
        <f>VLOOKUP(C146,Lookup!B:C,2,0)</f>
        <v>Ho-Chunk Gaming Madison</v>
      </c>
    </row>
    <row r="147" spans="2:13">
      <c r="B147" s="50">
        <f t="shared" si="15"/>
        <v>45991</v>
      </c>
      <c r="C147" s="6">
        <v>3105048</v>
      </c>
      <c r="D147">
        <v>2640294</v>
      </c>
      <c r="E147" s="3">
        <v>290091.40000000002</v>
      </c>
      <c r="F147" s="3">
        <v>12361.06</v>
      </c>
      <c r="G147" s="3">
        <v>10136.069199999998</v>
      </c>
      <c r="H147" s="10">
        <v>2224.9908</v>
      </c>
      <c r="I147" s="10">
        <f t="shared" si="16"/>
        <v>2224.9908</v>
      </c>
      <c r="J147" s="10">
        <f t="shared" si="14"/>
        <v>2224.9908</v>
      </c>
      <c r="K147">
        <v>30</v>
      </c>
      <c r="L147">
        <v>0.18</v>
      </c>
      <c r="M147" t="str">
        <f>VLOOKUP(C147,Lookup!B:C,2,0)</f>
        <v>Ho-Chunk Gaming Madison</v>
      </c>
    </row>
    <row r="148" spans="2:13">
      <c r="B148" s="50">
        <f t="shared" si="15"/>
        <v>45991</v>
      </c>
      <c r="C148" s="6">
        <v>3105048</v>
      </c>
      <c r="D148">
        <v>2585468</v>
      </c>
      <c r="E148" s="3">
        <v>119616.75</v>
      </c>
      <c r="F148" s="3">
        <v>8783.84</v>
      </c>
      <c r="G148" s="3">
        <v>7202.7487999999994</v>
      </c>
      <c r="H148" s="10">
        <v>1581.0912000000001</v>
      </c>
      <c r="I148" s="10">
        <f t="shared" si="16"/>
        <v>1581.0912000000001</v>
      </c>
      <c r="J148" s="10">
        <f t="shared" si="14"/>
        <v>1581.0912000000001</v>
      </c>
      <c r="K148">
        <v>30</v>
      </c>
      <c r="L148">
        <v>0.18</v>
      </c>
      <c r="M148" t="str">
        <f>VLOOKUP(C148,Lookup!B:C,2,0)</f>
        <v>Ho-Chunk Gaming Madison</v>
      </c>
    </row>
    <row r="149" spans="2:13">
      <c r="B149" s="50">
        <f t="shared" si="15"/>
        <v>45991</v>
      </c>
      <c r="C149" s="6">
        <v>3105048</v>
      </c>
      <c r="D149">
        <v>2505002</v>
      </c>
      <c r="E149" s="3">
        <v>189447.95</v>
      </c>
      <c r="F149" s="3">
        <v>12109.7</v>
      </c>
      <c r="G149" s="3">
        <v>9929.9539999999997</v>
      </c>
      <c r="H149" s="10">
        <v>2179.7460000000001</v>
      </c>
      <c r="I149" s="10">
        <f t="shared" si="16"/>
        <v>2179.7460000000001</v>
      </c>
      <c r="J149" s="10">
        <f t="shared" si="14"/>
        <v>2179.7460000000001</v>
      </c>
      <c r="K149">
        <v>30</v>
      </c>
      <c r="L149">
        <v>0.18</v>
      </c>
      <c r="M149" t="str">
        <f>VLOOKUP(C149,Lookup!B:C,2,0)</f>
        <v>Ho-Chunk Gaming Madison</v>
      </c>
    </row>
    <row r="150" spans="2:13">
      <c r="B150" s="50">
        <f t="shared" si="15"/>
        <v>45991</v>
      </c>
      <c r="C150" s="6">
        <v>3105048</v>
      </c>
      <c r="D150">
        <v>2583765</v>
      </c>
      <c r="E150" s="3">
        <v>157847.54999999999</v>
      </c>
      <c r="F150" s="3">
        <v>11851.59</v>
      </c>
      <c r="G150" s="3">
        <v>9718.3037999999997</v>
      </c>
      <c r="H150" s="10">
        <v>2133.2862</v>
      </c>
      <c r="I150" s="10">
        <f t="shared" si="16"/>
        <v>2133.2862</v>
      </c>
      <c r="J150" s="10">
        <f t="shared" si="14"/>
        <v>2133.2862</v>
      </c>
      <c r="K150">
        <v>30</v>
      </c>
      <c r="L150">
        <v>0.18</v>
      </c>
      <c r="M150" t="str">
        <f>VLOOKUP(C150,Lookup!B:C,2,0)</f>
        <v>Ho-Chunk Gaming Madison</v>
      </c>
    </row>
    <row r="151" spans="2:13">
      <c r="B151" s="50">
        <f t="shared" si="15"/>
        <v>45991</v>
      </c>
      <c r="C151" s="6">
        <v>3105048</v>
      </c>
      <c r="D151">
        <v>2459830</v>
      </c>
      <c r="E151" s="3">
        <v>105733.08</v>
      </c>
      <c r="F151" s="3">
        <v>2956.96</v>
      </c>
      <c r="G151" s="3">
        <v>2424.7071999999998</v>
      </c>
      <c r="H151" s="10">
        <v>532.25279999999998</v>
      </c>
      <c r="I151" s="10">
        <f t="shared" si="16"/>
        <v>532.25279999999998</v>
      </c>
      <c r="J151" s="10">
        <f t="shared" si="14"/>
        <v>532.25279999999998</v>
      </c>
      <c r="K151">
        <v>30</v>
      </c>
      <c r="L151">
        <v>0.18</v>
      </c>
      <c r="M151" t="str">
        <f>VLOOKUP(C151,Lookup!B:C,2,0)</f>
        <v>Ho-Chunk Gaming Madison</v>
      </c>
    </row>
    <row r="152" spans="2:13">
      <c r="B152" s="50">
        <f t="shared" si="15"/>
        <v>45991</v>
      </c>
      <c r="C152" s="6">
        <v>3105048</v>
      </c>
      <c r="D152">
        <v>2459833</v>
      </c>
      <c r="E152" s="3">
        <v>98529.75</v>
      </c>
      <c r="F152" s="3">
        <v>5340.17</v>
      </c>
      <c r="G152" s="3">
        <v>4378.9394000000002</v>
      </c>
      <c r="H152" s="10">
        <v>961.23059999999998</v>
      </c>
      <c r="I152" s="10">
        <f t="shared" si="16"/>
        <v>961.23059999999998</v>
      </c>
      <c r="J152" s="10">
        <f t="shared" si="14"/>
        <v>961.23059999999998</v>
      </c>
      <c r="K152">
        <v>30</v>
      </c>
      <c r="L152">
        <v>0.18</v>
      </c>
      <c r="M152" t="str">
        <f>VLOOKUP(C152,Lookup!B:C,2,0)</f>
        <v>Ho-Chunk Gaming Madison</v>
      </c>
    </row>
    <row r="153" spans="2:13">
      <c r="B153" s="50">
        <f t="shared" si="15"/>
        <v>45991</v>
      </c>
      <c r="C153" s="6">
        <v>3105048</v>
      </c>
      <c r="D153">
        <v>2587082</v>
      </c>
      <c r="E153" s="3">
        <v>206484.58</v>
      </c>
      <c r="F153" s="3">
        <v>8593.9</v>
      </c>
      <c r="G153" s="3">
        <v>7046.9979999999996</v>
      </c>
      <c r="H153" s="10">
        <v>1546.9019999999998</v>
      </c>
      <c r="I153" s="10">
        <f t="shared" si="16"/>
        <v>1546.9019999999998</v>
      </c>
      <c r="J153" s="10">
        <f t="shared" si="14"/>
        <v>1546.9019999999998</v>
      </c>
      <c r="K153">
        <v>30</v>
      </c>
      <c r="L153">
        <v>0.18</v>
      </c>
      <c r="M153" t="str">
        <f>VLOOKUP(C153,Lookup!B:C,2,0)</f>
        <v>Ho-Chunk Gaming Madison</v>
      </c>
    </row>
    <row r="154" spans="2:13">
      <c r="B154" s="50">
        <f t="shared" si="15"/>
        <v>45991</v>
      </c>
      <c r="C154" s="6">
        <v>3105048</v>
      </c>
      <c r="D154">
        <v>2587088</v>
      </c>
      <c r="E154" s="3">
        <v>87974.6</v>
      </c>
      <c r="F154" s="3">
        <v>-5159.37</v>
      </c>
      <c r="G154" s="3">
        <v>-4230.6833999999999</v>
      </c>
      <c r="H154" s="10">
        <v>-928.6866</v>
      </c>
      <c r="I154" s="10">
        <f t="shared" si="16"/>
        <v>-928.6866</v>
      </c>
      <c r="J154" s="10">
        <f t="shared" si="14"/>
        <v>-928.6866</v>
      </c>
      <c r="K154">
        <v>30</v>
      </c>
      <c r="L154">
        <v>0.18</v>
      </c>
      <c r="M154" t="str">
        <f>VLOOKUP(C154,Lookup!B:C,2,0)</f>
        <v>Ho-Chunk Gaming Madison</v>
      </c>
    </row>
    <row r="155" spans="2:13">
      <c r="B155" s="50">
        <f t="shared" si="15"/>
        <v>45991</v>
      </c>
      <c r="C155" s="6">
        <v>3105048</v>
      </c>
      <c r="D155">
        <v>2476396</v>
      </c>
      <c r="E155" s="3">
        <v>112060.4</v>
      </c>
      <c r="F155" s="3">
        <v>7989.61</v>
      </c>
      <c r="G155" s="3">
        <v>6551.4801999999991</v>
      </c>
      <c r="H155" s="10">
        <v>1438.1297999999999</v>
      </c>
      <c r="I155" s="10">
        <f t="shared" si="16"/>
        <v>1438.1297999999999</v>
      </c>
      <c r="J155" s="10">
        <f t="shared" si="14"/>
        <v>1438.1297999999999</v>
      </c>
      <c r="K155">
        <v>30</v>
      </c>
      <c r="L155">
        <v>0.18</v>
      </c>
      <c r="M155" t="str">
        <f>VLOOKUP(C155,Lookup!B:C,2,0)</f>
        <v>Ho-Chunk Gaming Madison</v>
      </c>
    </row>
    <row r="156" spans="2:13">
      <c r="B156" s="50">
        <f t="shared" si="15"/>
        <v>45991</v>
      </c>
      <c r="C156" s="6">
        <v>3105048</v>
      </c>
      <c r="D156">
        <v>2476391</v>
      </c>
      <c r="E156" s="3">
        <v>155122.85999999999</v>
      </c>
      <c r="F156" s="3">
        <v>5925.04</v>
      </c>
      <c r="G156" s="3">
        <v>4858.5328</v>
      </c>
      <c r="H156" s="10">
        <v>1066.5072</v>
      </c>
      <c r="I156" s="10">
        <f t="shared" si="16"/>
        <v>1066.5072</v>
      </c>
      <c r="J156" s="10">
        <f t="shared" si="14"/>
        <v>1066.5072</v>
      </c>
      <c r="K156">
        <v>30</v>
      </c>
      <c r="L156">
        <v>0.18</v>
      </c>
      <c r="M156" t="str">
        <f>VLOOKUP(C156,Lookup!B:C,2,0)</f>
        <v>Ho-Chunk Gaming Madison</v>
      </c>
    </row>
    <row r="157" spans="2:13">
      <c r="B157" s="50">
        <f t="shared" si="15"/>
        <v>45991</v>
      </c>
      <c r="C157" s="6">
        <v>3105048</v>
      </c>
      <c r="D157">
        <v>2221210</v>
      </c>
      <c r="E157" s="3">
        <v>489399.25</v>
      </c>
      <c r="F157" s="3">
        <v>4640.25</v>
      </c>
      <c r="G157" s="3">
        <v>3805.0049999999997</v>
      </c>
      <c r="H157" s="10">
        <v>835.245</v>
      </c>
      <c r="I157" s="10">
        <f t="shared" si="16"/>
        <v>835.245</v>
      </c>
      <c r="J157" s="10">
        <f t="shared" si="14"/>
        <v>835.245</v>
      </c>
      <c r="K157">
        <v>30</v>
      </c>
      <c r="L157">
        <v>0.18</v>
      </c>
      <c r="M157" t="str">
        <f>VLOOKUP(C157,Lookup!B:C,2,0)</f>
        <v>Ho-Chunk Gaming Madison</v>
      </c>
    </row>
    <row r="158" spans="2:13">
      <c r="B158" s="50">
        <f t="shared" si="15"/>
        <v>45991</v>
      </c>
      <c r="C158" s="6">
        <v>3105048</v>
      </c>
      <c r="D158">
        <v>2640288</v>
      </c>
      <c r="E158" s="3">
        <v>303731.20000000001</v>
      </c>
      <c r="F158" s="3">
        <v>11861.31</v>
      </c>
      <c r="G158" s="3">
        <v>9726.2741999999998</v>
      </c>
      <c r="H158" s="10">
        <v>2135.0357999999997</v>
      </c>
      <c r="I158" s="10">
        <f t="shared" si="16"/>
        <v>2135.0357999999997</v>
      </c>
      <c r="J158" s="10">
        <f t="shared" si="14"/>
        <v>2135.0357999999997</v>
      </c>
      <c r="K158">
        <v>30</v>
      </c>
      <c r="L158">
        <v>0.18</v>
      </c>
      <c r="M158" t="str">
        <f>VLOOKUP(C158,Lookup!B:C,2,0)</f>
        <v>Ho-Chunk Gaming Madison</v>
      </c>
    </row>
    <row r="159" spans="2:13">
      <c r="B159" s="50">
        <f t="shared" si="15"/>
        <v>45991</v>
      </c>
      <c r="C159" s="6">
        <v>3105048</v>
      </c>
      <c r="D159">
        <v>2640285</v>
      </c>
      <c r="E159" s="3">
        <v>355356.68</v>
      </c>
      <c r="F159" s="3">
        <v>-2681.59</v>
      </c>
      <c r="G159" s="3">
        <v>-2198.9038</v>
      </c>
      <c r="H159" s="10">
        <v>-482.68619999999999</v>
      </c>
      <c r="I159" s="10">
        <f t="shared" si="16"/>
        <v>-482.68619999999999</v>
      </c>
      <c r="J159" s="10">
        <f t="shared" si="14"/>
        <v>-482.68619999999999</v>
      </c>
      <c r="K159">
        <v>30</v>
      </c>
      <c r="L159">
        <v>0.18</v>
      </c>
      <c r="M159" t="str">
        <f>VLOOKUP(C159,Lookup!B:C,2,0)</f>
        <v>Ho-Chunk Gaming Madison</v>
      </c>
    </row>
    <row r="160" spans="2:13">
      <c r="B160" s="50">
        <f t="shared" si="15"/>
        <v>45991</v>
      </c>
      <c r="C160" s="6">
        <v>3105048</v>
      </c>
      <c r="D160">
        <v>2485285</v>
      </c>
      <c r="E160" s="3">
        <v>224889</v>
      </c>
      <c r="F160" s="3">
        <v>21246.55</v>
      </c>
      <c r="G160" s="3">
        <v>17422.170999999998</v>
      </c>
      <c r="H160" s="10">
        <v>3824.3789999999999</v>
      </c>
      <c r="I160" s="10">
        <f t="shared" si="16"/>
        <v>3824.3789999999999</v>
      </c>
      <c r="J160" s="10">
        <f t="shared" si="14"/>
        <v>3824.3789999999999</v>
      </c>
      <c r="K160">
        <v>30</v>
      </c>
      <c r="L160">
        <v>0.18</v>
      </c>
      <c r="M160" t="str">
        <f>VLOOKUP(C160,Lookup!B:C,2,0)</f>
        <v>Ho-Chunk Gaming Madison</v>
      </c>
    </row>
    <row r="161" spans="2:13">
      <c r="B161" s="50">
        <f t="shared" si="15"/>
        <v>45991</v>
      </c>
      <c r="C161" s="6">
        <v>3105048</v>
      </c>
      <c r="D161">
        <v>2587081</v>
      </c>
      <c r="E161" s="3">
        <v>299705.02</v>
      </c>
      <c r="F161" s="3">
        <v>16786.38</v>
      </c>
      <c r="G161" s="3">
        <v>13764.8316</v>
      </c>
      <c r="H161" s="10">
        <v>3021.5484000000001</v>
      </c>
      <c r="I161" s="10">
        <f t="shared" si="16"/>
        <v>3021.5484000000001</v>
      </c>
      <c r="J161" s="10">
        <f t="shared" si="14"/>
        <v>3021.5484000000001</v>
      </c>
      <c r="K161">
        <v>30</v>
      </c>
      <c r="L161">
        <v>0.18</v>
      </c>
      <c r="M161" t="str">
        <f>VLOOKUP(C161,Lookup!B:C,2,0)</f>
        <v>Ho-Chunk Gaming Madison</v>
      </c>
    </row>
    <row r="162" spans="2:13">
      <c r="B162" s="50">
        <f t="shared" si="15"/>
        <v>45991</v>
      </c>
      <c r="C162" s="6">
        <v>3105048</v>
      </c>
      <c r="D162">
        <v>2587083</v>
      </c>
      <c r="E162" s="3">
        <v>246287.02</v>
      </c>
      <c r="F162" s="3">
        <v>3493.71</v>
      </c>
      <c r="G162" s="3">
        <v>2864.8422</v>
      </c>
      <c r="H162" s="10">
        <v>628.86779999999999</v>
      </c>
      <c r="I162" s="10">
        <f t="shared" si="16"/>
        <v>628.86779999999999</v>
      </c>
      <c r="J162" s="10">
        <f t="shared" si="14"/>
        <v>628.86779999999999</v>
      </c>
      <c r="K162">
        <v>30</v>
      </c>
      <c r="L162">
        <v>0.18</v>
      </c>
      <c r="M162" t="str">
        <f>VLOOKUP(C162,Lookup!B:C,2,0)</f>
        <v>Ho-Chunk Gaming Madison</v>
      </c>
    </row>
    <row r="163" spans="2:13">
      <c r="B163" s="50">
        <f t="shared" si="15"/>
        <v>45991</v>
      </c>
      <c r="C163" s="6">
        <v>3105048</v>
      </c>
      <c r="D163">
        <v>2505003</v>
      </c>
      <c r="E163" s="3">
        <v>114165</v>
      </c>
      <c r="F163" s="3">
        <v>2430.5</v>
      </c>
      <c r="G163" s="3">
        <v>1993.01</v>
      </c>
      <c r="H163" s="10">
        <v>437.49</v>
      </c>
      <c r="I163" s="10">
        <f t="shared" si="16"/>
        <v>437.49</v>
      </c>
      <c r="J163" s="10">
        <f t="shared" si="14"/>
        <v>437.49</v>
      </c>
      <c r="K163">
        <v>30</v>
      </c>
      <c r="L163">
        <v>0.18</v>
      </c>
      <c r="M163" t="str">
        <f>VLOOKUP(C163,Lookup!B:C,2,0)</f>
        <v>Ho-Chunk Gaming Madison</v>
      </c>
    </row>
    <row r="164" spans="2:13">
      <c r="B164" s="50">
        <f t="shared" si="15"/>
        <v>45991</v>
      </c>
      <c r="C164" s="6">
        <v>3105048</v>
      </c>
      <c r="D164">
        <v>2459828</v>
      </c>
      <c r="E164" s="3">
        <v>113743.71</v>
      </c>
      <c r="F164" s="3">
        <v>6997.34</v>
      </c>
      <c r="G164" s="3">
        <v>5737.8188</v>
      </c>
      <c r="H164" s="10">
        <v>1259.5211999999999</v>
      </c>
      <c r="I164" s="10">
        <f t="shared" si="16"/>
        <v>1259.5211999999999</v>
      </c>
      <c r="J164" s="10">
        <f t="shared" si="14"/>
        <v>1259.5211999999999</v>
      </c>
      <c r="K164">
        <v>30</v>
      </c>
      <c r="L164">
        <v>0.18</v>
      </c>
      <c r="M164" t="str">
        <f>VLOOKUP(C164,Lookup!B:C,2,0)</f>
        <v>Ho-Chunk Gaming Madison</v>
      </c>
    </row>
    <row r="165" spans="2:13">
      <c r="B165" s="50">
        <f t="shared" si="15"/>
        <v>45991</v>
      </c>
      <c r="C165" s="6">
        <v>3105048</v>
      </c>
      <c r="D165">
        <v>2587094</v>
      </c>
      <c r="E165" s="3">
        <v>290676.64</v>
      </c>
      <c r="F165" s="3">
        <v>20832.38</v>
      </c>
      <c r="G165" s="3">
        <v>17082.551599999999</v>
      </c>
      <c r="H165" s="10">
        <v>3749.8283999999999</v>
      </c>
      <c r="I165" s="10">
        <f t="shared" si="16"/>
        <v>3749.8283999999999</v>
      </c>
      <c r="J165" s="10">
        <f t="shared" si="14"/>
        <v>3749.8283999999999</v>
      </c>
      <c r="K165">
        <v>30</v>
      </c>
      <c r="L165">
        <v>0.18</v>
      </c>
      <c r="M165" t="str">
        <f>VLOOKUP(C165,Lookup!B:C,2,0)</f>
        <v>Ho-Chunk Gaming Madison</v>
      </c>
    </row>
    <row r="166" spans="2:13">
      <c r="B166" s="50">
        <f t="shared" si="15"/>
        <v>45991</v>
      </c>
      <c r="C166" s="6">
        <v>3105048</v>
      </c>
      <c r="D166">
        <v>2583766</v>
      </c>
      <c r="E166" s="3">
        <v>146322.4</v>
      </c>
      <c r="F166" s="3">
        <v>5176.04</v>
      </c>
      <c r="G166" s="3">
        <v>4244.3527999999997</v>
      </c>
      <c r="H166" s="10">
        <v>931.68719999999996</v>
      </c>
      <c r="I166" s="10">
        <f t="shared" si="16"/>
        <v>931.68719999999996</v>
      </c>
      <c r="J166" s="10">
        <f t="shared" si="14"/>
        <v>931.68719999999996</v>
      </c>
      <c r="K166">
        <v>30</v>
      </c>
      <c r="L166">
        <v>0.18</v>
      </c>
      <c r="M166" t="str">
        <f>VLOOKUP(C166,Lookup!B:C,2,0)</f>
        <v>Ho-Chunk Gaming Madison</v>
      </c>
    </row>
    <row r="167" spans="2:13">
      <c r="B167" s="50">
        <f t="shared" si="15"/>
        <v>45991</v>
      </c>
      <c r="C167" s="6">
        <v>3105048</v>
      </c>
      <c r="D167">
        <v>2640289</v>
      </c>
      <c r="E167" s="3">
        <v>253058</v>
      </c>
      <c r="F167" s="3">
        <v>16460.900000000001</v>
      </c>
      <c r="G167" s="3">
        <v>13497.938</v>
      </c>
      <c r="H167" s="10">
        <v>2962.962</v>
      </c>
      <c r="I167" s="10">
        <f t="shared" si="16"/>
        <v>2962.962</v>
      </c>
      <c r="J167" s="10">
        <f t="shared" si="14"/>
        <v>2962.962</v>
      </c>
      <c r="K167">
        <v>30</v>
      </c>
      <c r="L167">
        <v>0.18</v>
      </c>
      <c r="M167" t="str">
        <f>VLOOKUP(C167,Lookup!B:C,2,0)</f>
        <v>Ho-Chunk Gaming Madison</v>
      </c>
    </row>
    <row r="168" spans="2:13">
      <c r="B168" s="50">
        <f t="shared" si="15"/>
        <v>45991</v>
      </c>
      <c r="C168" s="6">
        <v>3105048</v>
      </c>
      <c r="D168">
        <v>2459831</v>
      </c>
      <c r="E168" s="3">
        <v>153052.47</v>
      </c>
      <c r="F168" s="3">
        <v>1917.74</v>
      </c>
      <c r="G168" s="3">
        <v>1572.5467999999998</v>
      </c>
      <c r="H168" s="10">
        <v>345.19319999999999</v>
      </c>
      <c r="I168" s="10">
        <f t="shared" si="16"/>
        <v>345.19319999999999</v>
      </c>
      <c r="J168" s="10">
        <f t="shared" si="14"/>
        <v>345.19319999999999</v>
      </c>
      <c r="K168">
        <v>30</v>
      </c>
      <c r="L168">
        <v>0.18</v>
      </c>
      <c r="M168" t="str">
        <f>VLOOKUP(C168,Lookup!B:C,2,0)</f>
        <v>Ho-Chunk Gaming Madison</v>
      </c>
    </row>
    <row r="169" spans="2:13">
      <c r="B169" s="50">
        <f t="shared" si="15"/>
        <v>45991</v>
      </c>
      <c r="C169" s="6">
        <v>3105048</v>
      </c>
      <c r="D169">
        <v>2587097</v>
      </c>
      <c r="E169" s="3">
        <v>292754.32</v>
      </c>
      <c r="F169" s="3">
        <v>27023.56</v>
      </c>
      <c r="G169" s="3">
        <v>22159.319199999998</v>
      </c>
      <c r="H169" s="10">
        <v>4864.2408000000005</v>
      </c>
      <c r="I169" s="10">
        <f t="shared" si="16"/>
        <v>4864.2408000000005</v>
      </c>
      <c r="J169" s="10">
        <f t="shared" si="14"/>
        <v>4864.2408000000005</v>
      </c>
      <c r="K169">
        <v>30</v>
      </c>
      <c r="L169">
        <v>0.18</v>
      </c>
      <c r="M169" t="str">
        <f>VLOOKUP(C169,Lookup!B:C,2,0)</f>
        <v>Ho-Chunk Gaming Madison</v>
      </c>
    </row>
    <row r="170" spans="2:13">
      <c r="B170" s="50">
        <f t="shared" si="15"/>
        <v>45991</v>
      </c>
      <c r="C170" s="6">
        <v>3105048</v>
      </c>
      <c r="D170">
        <v>2641002</v>
      </c>
      <c r="E170" s="3">
        <v>87761.35</v>
      </c>
      <c r="F170" s="3">
        <v>3392.6</v>
      </c>
      <c r="G170" s="3">
        <v>2781.9319999999998</v>
      </c>
      <c r="H170" s="10">
        <v>610.66800000000001</v>
      </c>
      <c r="I170" s="10">
        <f t="shared" si="16"/>
        <v>610.66800000000001</v>
      </c>
      <c r="J170" s="10">
        <f t="shared" si="14"/>
        <v>610.66800000000001</v>
      </c>
      <c r="K170">
        <v>30</v>
      </c>
      <c r="L170">
        <v>0.18</v>
      </c>
      <c r="M170" t="str">
        <f>VLOOKUP(C170,Lookup!B:C,2,0)</f>
        <v>Ho-Chunk Gaming Madison</v>
      </c>
    </row>
    <row r="171" spans="2:13">
      <c r="B171" s="50">
        <f t="shared" si="15"/>
        <v>45991</v>
      </c>
      <c r="C171" s="6">
        <v>3105048</v>
      </c>
      <c r="D171">
        <v>2585463</v>
      </c>
      <c r="E171" s="3">
        <v>82243.5</v>
      </c>
      <c r="F171" s="3">
        <v>6501.46</v>
      </c>
      <c r="G171" s="3">
        <v>5331.1971999999996</v>
      </c>
      <c r="H171" s="10">
        <v>1170.2628</v>
      </c>
      <c r="I171" s="10">
        <f t="shared" si="16"/>
        <v>1170.2628</v>
      </c>
      <c r="J171" s="10">
        <f t="shared" si="14"/>
        <v>1170.2628</v>
      </c>
      <c r="K171">
        <v>30</v>
      </c>
      <c r="L171">
        <v>0.18</v>
      </c>
      <c r="M171" t="str">
        <f>VLOOKUP(C171,Lookup!B:C,2,0)</f>
        <v>Ho-Chunk Gaming Madison</v>
      </c>
    </row>
    <row r="172" spans="2:13">
      <c r="B172" s="50">
        <f t="shared" si="15"/>
        <v>45991</v>
      </c>
      <c r="C172" s="6">
        <v>3105048</v>
      </c>
      <c r="D172">
        <v>2587092</v>
      </c>
      <c r="E172" s="3">
        <v>259177.98</v>
      </c>
      <c r="F172" s="3">
        <v>7981.19</v>
      </c>
      <c r="G172" s="3">
        <v>6544.5757999999996</v>
      </c>
      <c r="H172" s="10">
        <v>1436.6142</v>
      </c>
      <c r="I172" s="10">
        <f t="shared" si="16"/>
        <v>1436.6142</v>
      </c>
      <c r="J172" s="10">
        <f t="shared" si="14"/>
        <v>1436.6142</v>
      </c>
      <c r="K172">
        <v>30</v>
      </c>
      <c r="L172">
        <v>0.18</v>
      </c>
      <c r="M172" t="str">
        <f>VLOOKUP(C172,Lookup!B:C,2,0)</f>
        <v>Ho-Chunk Gaming Madison</v>
      </c>
    </row>
    <row r="173" spans="2:13">
      <c r="B173" s="50">
        <f t="shared" si="15"/>
        <v>45991</v>
      </c>
      <c r="C173" s="6">
        <v>3105048</v>
      </c>
      <c r="D173">
        <v>2585461</v>
      </c>
      <c r="E173" s="3">
        <v>82458</v>
      </c>
      <c r="F173" s="3">
        <v>-3023.69</v>
      </c>
      <c r="G173" s="3">
        <v>-2479.4258</v>
      </c>
      <c r="H173" s="10">
        <v>-544.26419999999996</v>
      </c>
      <c r="I173" s="10">
        <f t="shared" si="16"/>
        <v>-544.26419999999996</v>
      </c>
      <c r="J173" s="10">
        <f t="shared" si="14"/>
        <v>-544.26419999999996</v>
      </c>
      <c r="K173">
        <v>30</v>
      </c>
      <c r="L173">
        <v>0.18</v>
      </c>
      <c r="M173" t="str">
        <f>VLOOKUP(C173,Lookup!B:C,2,0)</f>
        <v>Ho-Chunk Gaming Madison</v>
      </c>
    </row>
    <row r="174" spans="2:13">
      <c r="B174" s="50">
        <f t="shared" si="15"/>
        <v>45991</v>
      </c>
      <c r="C174" s="6">
        <v>3105048</v>
      </c>
      <c r="D174">
        <v>2583761</v>
      </c>
      <c r="E174" s="3">
        <v>137838.04999999999</v>
      </c>
      <c r="F174" s="3">
        <v>-2453.65</v>
      </c>
      <c r="G174" s="3">
        <v>-2011.9929999999999</v>
      </c>
      <c r="H174" s="10">
        <v>-441.65699999999998</v>
      </c>
      <c r="I174" s="10">
        <f t="shared" si="16"/>
        <v>-441.65699999999998</v>
      </c>
      <c r="J174" s="10">
        <f t="shared" si="14"/>
        <v>-441.65699999999998</v>
      </c>
      <c r="K174">
        <v>30</v>
      </c>
      <c r="L174">
        <v>0.18</v>
      </c>
      <c r="M174" t="str">
        <f>VLOOKUP(C174,Lookup!B:C,2,0)</f>
        <v>Ho-Chunk Gaming Madison</v>
      </c>
    </row>
    <row r="175" spans="2:13">
      <c r="B175" s="50">
        <f t="shared" si="15"/>
        <v>45991</v>
      </c>
      <c r="C175" s="6">
        <v>3105048</v>
      </c>
      <c r="D175">
        <v>2640299</v>
      </c>
      <c r="E175" s="3">
        <v>170616.16</v>
      </c>
      <c r="F175" s="3">
        <v>13871.26</v>
      </c>
      <c r="G175" s="3">
        <v>11374.433199999999</v>
      </c>
      <c r="H175" s="10">
        <v>2496.8267999999998</v>
      </c>
      <c r="I175" s="10">
        <f t="shared" si="16"/>
        <v>2496.8267999999998</v>
      </c>
      <c r="J175" s="10">
        <f t="shared" si="14"/>
        <v>2496.8267999999998</v>
      </c>
      <c r="K175">
        <v>30</v>
      </c>
      <c r="L175">
        <v>0.18</v>
      </c>
      <c r="M175" t="str">
        <f>VLOOKUP(C175,Lookup!B:C,2,0)</f>
        <v>Ho-Chunk Gaming Madison</v>
      </c>
    </row>
    <row r="176" spans="2:13">
      <c r="B176" s="50">
        <f t="shared" si="15"/>
        <v>45991</v>
      </c>
      <c r="C176" s="6">
        <v>3105048</v>
      </c>
      <c r="D176">
        <v>2476389</v>
      </c>
      <c r="E176" s="3">
        <v>194176</v>
      </c>
      <c r="F176" s="3">
        <v>12886.98</v>
      </c>
      <c r="G176" s="3">
        <v>10567.3236</v>
      </c>
      <c r="H176" s="10">
        <v>2319.6563999999998</v>
      </c>
      <c r="I176" s="10">
        <f t="shared" si="16"/>
        <v>2319.6563999999998</v>
      </c>
      <c r="J176" s="10">
        <f t="shared" si="14"/>
        <v>2319.6563999999998</v>
      </c>
      <c r="K176">
        <v>30</v>
      </c>
      <c r="L176">
        <v>0.18</v>
      </c>
      <c r="M176" t="str">
        <f>VLOOKUP(C176,Lookup!B:C,2,0)</f>
        <v>Ho-Chunk Gaming Madison</v>
      </c>
    </row>
    <row r="177" spans="2:13">
      <c r="B177" s="50">
        <f t="shared" si="15"/>
        <v>45991</v>
      </c>
      <c r="C177" s="6">
        <v>3105048</v>
      </c>
      <c r="D177">
        <v>2585470</v>
      </c>
      <c r="E177" s="3">
        <v>191559.72</v>
      </c>
      <c r="F177" s="3">
        <v>6585.87</v>
      </c>
      <c r="G177" s="3">
        <v>5400.4133999999995</v>
      </c>
      <c r="H177" s="10">
        <v>1185.4566</v>
      </c>
      <c r="I177" s="10">
        <f t="shared" si="16"/>
        <v>1185.4566</v>
      </c>
      <c r="J177" s="10">
        <f t="shared" si="14"/>
        <v>1185.4566</v>
      </c>
      <c r="K177">
        <v>30</v>
      </c>
      <c r="L177">
        <v>0.18</v>
      </c>
      <c r="M177" t="str">
        <f>VLOOKUP(C177,Lookup!B:C,2,0)</f>
        <v>Ho-Chunk Gaming Madison</v>
      </c>
    </row>
    <row r="178" spans="2:13">
      <c r="B178" s="50">
        <f t="shared" si="15"/>
        <v>45991</v>
      </c>
      <c r="C178" s="6">
        <v>3105048</v>
      </c>
      <c r="D178">
        <v>2640382</v>
      </c>
      <c r="E178" s="3">
        <v>430836.84</v>
      </c>
      <c r="F178" s="3">
        <v>24653.48</v>
      </c>
      <c r="G178" s="3">
        <v>20215.853599999999</v>
      </c>
      <c r="H178" s="10">
        <v>4437.6264000000001</v>
      </c>
      <c r="I178" s="10">
        <f t="shared" si="16"/>
        <v>4437.6264000000001</v>
      </c>
      <c r="J178" s="10">
        <f t="shared" si="14"/>
        <v>4437.6264000000001</v>
      </c>
      <c r="K178">
        <v>30</v>
      </c>
      <c r="L178">
        <v>0.18</v>
      </c>
      <c r="M178" t="str">
        <f>VLOOKUP(C178,Lookup!B:C,2,0)</f>
        <v>Ho-Chunk Gaming Madison</v>
      </c>
    </row>
    <row r="179" spans="2:13">
      <c r="B179" s="50">
        <f t="shared" si="15"/>
        <v>45991</v>
      </c>
      <c r="C179" s="6">
        <v>3105048</v>
      </c>
      <c r="D179">
        <v>2640293</v>
      </c>
      <c r="E179" s="3">
        <v>266700.2</v>
      </c>
      <c r="F179" s="3">
        <v>16031.32</v>
      </c>
      <c r="G179" s="3">
        <v>13145.6824</v>
      </c>
      <c r="H179" s="10">
        <v>2885.6376</v>
      </c>
      <c r="I179" s="10">
        <f t="shared" si="16"/>
        <v>2885.6376</v>
      </c>
      <c r="J179" s="10">
        <f t="shared" si="14"/>
        <v>2885.6376</v>
      </c>
      <c r="K179">
        <v>30</v>
      </c>
      <c r="L179">
        <v>0.18</v>
      </c>
      <c r="M179" t="str">
        <f>VLOOKUP(C179,Lookup!B:C,2,0)</f>
        <v>Ho-Chunk Gaming Madison</v>
      </c>
    </row>
    <row r="180" spans="2:13">
      <c r="B180" s="50">
        <f t="shared" si="15"/>
        <v>45991</v>
      </c>
      <c r="C180" s="6">
        <v>3105048</v>
      </c>
      <c r="D180">
        <v>2437275</v>
      </c>
      <c r="E180" s="3">
        <v>120108.75</v>
      </c>
      <c r="F180" s="3">
        <v>9686.0499999999993</v>
      </c>
      <c r="G180" s="3">
        <v>7942.5609999999988</v>
      </c>
      <c r="H180" s="10">
        <v>1743.4889999999998</v>
      </c>
      <c r="I180" s="10">
        <f t="shared" si="16"/>
        <v>1743.4889999999998</v>
      </c>
      <c r="J180" s="10">
        <f t="shared" si="14"/>
        <v>1743.4889999999998</v>
      </c>
      <c r="K180">
        <v>30</v>
      </c>
      <c r="L180">
        <v>0.18</v>
      </c>
      <c r="M180" t="str">
        <f>VLOOKUP(C180,Lookup!B:C,2,0)</f>
        <v>Ho-Chunk Gaming Madison</v>
      </c>
    </row>
    <row r="181" spans="2:13">
      <c r="B181" s="50">
        <f t="shared" si="15"/>
        <v>45991</v>
      </c>
      <c r="C181" s="6">
        <v>3105048</v>
      </c>
      <c r="D181">
        <v>2437276</v>
      </c>
      <c r="E181" s="3">
        <v>155456.25</v>
      </c>
      <c r="F181" s="3">
        <v>1478.55</v>
      </c>
      <c r="G181" s="3">
        <v>1212.4109999999998</v>
      </c>
      <c r="H181" s="10">
        <v>266.13900000000001</v>
      </c>
      <c r="I181" s="10">
        <f t="shared" si="16"/>
        <v>266.13900000000001</v>
      </c>
      <c r="J181" s="10">
        <f t="shared" si="14"/>
        <v>266.13900000000001</v>
      </c>
      <c r="K181">
        <v>30</v>
      </c>
      <c r="L181">
        <v>0.18</v>
      </c>
      <c r="M181" t="str">
        <f>VLOOKUP(C181,Lookup!B:C,2,0)</f>
        <v>Ho-Chunk Gaming Madison</v>
      </c>
    </row>
    <row r="182" spans="2:13">
      <c r="B182" s="50">
        <f t="shared" si="15"/>
        <v>45991</v>
      </c>
      <c r="C182" s="6">
        <v>3105048</v>
      </c>
      <c r="D182">
        <v>2437272</v>
      </c>
      <c r="E182" s="3">
        <v>137275.25</v>
      </c>
      <c r="F182" s="3">
        <v>8187.35</v>
      </c>
      <c r="G182" s="3">
        <v>6713.6269999999995</v>
      </c>
      <c r="H182" s="10">
        <v>1473.723</v>
      </c>
      <c r="I182" s="10">
        <f t="shared" si="16"/>
        <v>1473.723</v>
      </c>
      <c r="J182" s="10">
        <f t="shared" si="14"/>
        <v>1473.723</v>
      </c>
      <c r="K182">
        <v>30</v>
      </c>
      <c r="L182">
        <v>0.18</v>
      </c>
      <c r="M182" t="str">
        <f>VLOOKUP(C182,Lookup!B:C,2,0)</f>
        <v>Ho-Chunk Gaming Madison</v>
      </c>
    </row>
    <row r="183" spans="2:13">
      <c r="B183" s="50">
        <f t="shared" si="15"/>
        <v>45991</v>
      </c>
      <c r="C183" s="6">
        <v>3105048</v>
      </c>
      <c r="D183">
        <v>2437273</v>
      </c>
      <c r="E183" s="3">
        <v>211979.75</v>
      </c>
      <c r="F183" s="3">
        <v>10574.35</v>
      </c>
      <c r="G183" s="3">
        <v>8670.9670000000006</v>
      </c>
      <c r="H183" s="10">
        <v>1903.383</v>
      </c>
      <c r="I183" s="10">
        <f t="shared" si="16"/>
        <v>1903.383</v>
      </c>
      <c r="J183" s="10">
        <f t="shared" si="14"/>
        <v>1903.383</v>
      </c>
      <c r="K183">
        <v>30</v>
      </c>
      <c r="L183">
        <v>0.18</v>
      </c>
      <c r="M183" t="str">
        <f>VLOOKUP(C183,Lookup!B:C,2,0)</f>
        <v>Ho-Chunk Gaming Madison</v>
      </c>
    </row>
    <row r="184" spans="2:13">
      <c r="B184" s="50">
        <f t="shared" si="15"/>
        <v>45991</v>
      </c>
      <c r="C184" s="6">
        <v>3105048</v>
      </c>
      <c r="D184">
        <v>2437271</v>
      </c>
      <c r="E184" s="3">
        <v>139436.25</v>
      </c>
      <c r="F184" s="3">
        <v>4921.17</v>
      </c>
      <c r="G184" s="3">
        <v>4035.3593999999998</v>
      </c>
      <c r="H184" s="10">
        <v>885.81060000000002</v>
      </c>
      <c r="I184" s="10">
        <f t="shared" si="16"/>
        <v>885.81060000000002</v>
      </c>
      <c r="J184" s="10">
        <f t="shared" si="14"/>
        <v>885.81060000000002</v>
      </c>
      <c r="K184">
        <v>30</v>
      </c>
      <c r="L184">
        <v>0.18</v>
      </c>
      <c r="M184" t="str">
        <f>VLOOKUP(C184,Lookup!B:C,2,0)</f>
        <v>Ho-Chunk Gaming Madison</v>
      </c>
    </row>
    <row r="185" spans="2:13">
      <c r="B185" s="50">
        <f t="shared" si="15"/>
        <v>45991</v>
      </c>
      <c r="C185" s="6">
        <v>3105048</v>
      </c>
      <c r="D185">
        <v>2437274</v>
      </c>
      <c r="E185" s="3">
        <v>198067</v>
      </c>
      <c r="F185" s="3">
        <v>3324.25</v>
      </c>
      <c r="G185" s="3">
        <v>2725.8849999999998</v>
      </c>
      <c r="H185" s="10">
        <v>598.36500000000001</v>
      </c>
      <c r="I185" s="10">
        <f t="shared" si="16"/>
        <v>598.36500000000001</v>
      </c>
      <c r="J185" s="10">
        <f t="shared" si="14"/>
        <v>598.36500000000001</v>
      </c>
      <c r="K185">
        <v>30</v>
      </c>
      <c r="L185">
        <v>0.18</v>
      </c>
      <c r="M185" t="str">
        <f>VLOOKUP(C185,Lookup!B:C,2,0)</f>
        <v>Ho-Chunk Gaming Madison</v>
      </c>
    </row>
    <row r="186" spans="2:13">
      <c r="B186" s="50">
        <f t="shared" si="15"/>
        <v>45991</v>
      </c>
      <c r="C186" s="6">
        <v>3105048</v>
      </c>
      <c r="D186">
        <v>2640999</v>
      </c>
      <c r="E186" s="3">
        <v>200499.25</v>
      </c>
      <c r="F186" s="3">
        <v>17387.22</v>
      </c>
      <c r="G186" s="3">
        <v>14257.520399999999</v>
      </c>
      <c r="H186" s="10">
        <v>3129.6995999999999</v>
      </c>
      <c r="I186" s="10">
        <f t="shared" si="16"/>
        <v>3129.6995999999999</v>
      </c>
      <c r="J186" s="10">
        <f t="shared" si="14"/>
        <v>3129.6995999999999</v>
      </c>
      <c r="K186">
        <v>30</v>
      </c>
      <c r="L186">
        <v>0.18</v>
      </c>
      <c r="M186" t="str">
        <f>VLOOKUP(C186,Lookup!B:C,2,0)</f>
        <v>Ho-Chunk Gaming Madison</v>
      </c>
    </row>
    <row r="187" spans="2:13">
      <c r="B187" s="50">
        <f t="shared" si="15"/>
        <v>45991</v>
      </c>
      <c r="C187" s="6">
        <v>3105048</v>
      </c>
      <c r="D187">
        <v>2366889</v>
      </c>
      <c r="E187" s="3">
        <v>123933.75</v>
      </c>
      <c r="F187" s="3">
        <v>7204.72</v>
      </c>
      <c r="G187" s="3">
        <v>5907.8703999999998</v>
      </c>
      <c r="H187" s="10">
        <v>1296.8496</v>
      </c>
      <c r="I187" s="10">
        <f t="shared" si="16"/>
        <v>1296.8496</v>
      </c>
      <c r="J187" s="10">
        <f t="shared" si="14"/>
        <v>1296.8496</v>
      </c>
      <c r="K187">
        <v>30</v>
      </c>
      <c r="L187">
        <v>0.18</v>
      </c>
      <c r="M187" t="str">
        <f>VLOOKUP(C187,Lookup!B:C,2,0)</f>
        <v>Ho-Chunk Gaming Madison</v>
      </c>
    </row>
    <row r="188" spans="2:13">
      <c r="B188" s="50">
        <f t="shared" si="15"/>
        <v>45991</v>
      </c>
      <c r="C188" s="6">
        <v>3105048</v>
      </c>
      <c r="D188">
        <v>2392470</v>
      </c>
      <c r="E188" s="3">
        <v>105719.5</v>
      </c>
      <c r="F188" s="3">
        <v>4258.8</v>
      </c>
      <c r="G188" s="3">
        <v>3492.2159999999999</v>
      </c>
      <c r="H188" s="10">
        <v>766.58400000000006</v>
      </c>
      <c r="I188" s="10">
        <f t="shared" si="16"/>
        <v>766.58400000000006</v>
      </c>
      <c r="J188" s="10">
        <f t="shared" si="14"/>
        <v>766.58400000000006</v>
      </c>
      <c r="K188">
        <v>30</v>
      </c>
      <c r="L188">
        <v>0.18</v>
      </c>
      <c r="M188" t="str">
        <f>VLOOKUP(C188,Lookup!B:C,2,0)</f>
        <v>Ho-Chunk Gaming Madison</v>
      </c>
    </row>
    <row r="189" spans="2:13">
      <c r="B189" s="50">
        <f t="shared" si="15"/>
        <v>45991</v>
      </c>
      <c r="C189" s="6">
        <v>3105048</v>
      </c>
      <c r="D189">
        <v>2631733</v>
      </c>
      <c r="E189" s="3">
        <v>422486.25</v>
      </c>
      <c r="F189" s="3">
        <v>19888.25</v>
      </c>
      <c r="G189" s="3">
        <v>16308.365</v>
      </c>
      <c r="H189" s="10">
        <v>3579.8849999999998</v>
      </c>
      <c r="I189" s="10">
        <f t="shared" si="16"/>
        <v>3579.8849999999998</v>
      </c>
      <c r="J189" s="10">
        <f t="shared" si="14"/>
        <v>3579.8849999999998</v>
      </c>
      <c r="K189">
        <v>30</v>
      </c>
      <c r="L189">
        <v>0.18</v>
      </c>
      <c r="M189" t="str">
        <f>VLOOKUP(C189,Lookup!B:C,2,0)</f>
        <v>Ho-Chunk Gaming Madison</v>
      </c>
    </row>
    <row r="190" spans="2:13">
      <c r="B190" s="50">
        <f t="shared" si="15"/>
        <v>45991</v>
      </c>
      <c r="C190" s="6">
        <v>3105048</v>
      </c>
      <c r="D190">
        <v>2641000</v>
      </c>
      <c r="E190" s="3">
        <v>230063.75</v>
      </c>
      <c r="F190" s="3">
        <v>18932.79</v>
      </c>
      <c r="G190" s="3">
        <v>15524.8878</v>
      </c>
      <c r="H190" s="10">
        <v>3407.9022</v>
      </c>
      <c r="I190" s="10">
        <f t="shared" si="16"/>
        <v>3407.9022</v>
      </c>
      <c r="J190" s="10">
        <f t="shared" si="14"/>
        <v>3407.9022</v>
      </c>
      <c r="K190">
        <v>30</v>
      </c>
      <c r="L190">
        <v>0.18</v>
      </c>
      <c r="M190" t="str">
        <f>VLOOKUP(C190,Lookup!B:C,2,0)</f>
        <v>Ho-Chunk Gaming Madison</v>
      </c>
    </row>
    <row r="191" spans="2:13">
      <c r="B191" s="50">
        <f t="shared" si="15"/>
        <v>45991</v>
      </c>
      <c r="C191" s="6">
        <v>3105048</v>
      </c>
      <c r="D191">
        <v>2392471</v>
      </c>
      <c r="E191" s="3">
        <v>77039</v>
      </c>
      <c r="F191" s="3">
        <v>-20178.48</v>
      </c>
      <c r="G191" s="3">
        <v>-16546.353599999999</v>
      </c>
      <c r="H191" s="10">
        <v>-3632.1263999999996</v>
      </c>
      <c r="I191" s="10">
        <f t="shared" si="16"/>
        <v>-3632.1263999999996</v>
      </c>
      <c r="J191" s="10">
        <f t="shared" si="14"/>
        <v>-3632.1263999999996</v>
      </c>
      <c r="K191">
        <v>30</v>
      </c>
      <c r="L191">
        <v>0.18</v>
      </c>
      <c r="M191" t="str">
        <f>VLOOKUP(C191,Lookup!B:C,2,0)</f>
        <v>Ho-Chunk Gaming Madison</v>
      </c>
    </row>
    <row r="192" spans="2:13">
      <c r="B192" s="50">
        <f t="shared" si="15"/>
        <v>45991</v>
      </c>
      <c r="C192" s="6">
        <v>3105048</v>
      </c>
      <c r="D192">
        <v>2366890</v>
      </c>
      <c r="E192" s="3">
        <v>90148.75</v>
      </c>
      <c r="F192" s="3">
        <v>2256.9699999999998</v>
      </c>
      <c r="G192" s="3">
        <v>1850.7153999999998</v>
      </c>
      <c r="H192" s="10">
        <v>406.25459999999993</v>
      </c>
      <c r="I192" s="10">
        <f t="shared" si="16"/>
        <v>406.25459999999993</v>
      </c>
      <c r="J192" s="10">
        <f t="shared" si="14"/>
        <v>406.25459999999993</v>
      </c>
      <c r="K192">
        <v>30</v>
      </c>
      <c r="L192">
        <v>0.18</v>
      </c>
      <c r="M192" t="str">
        <f>VLOOKUP(C192,Lookup!B:C,2,0)</f>
        <v>Ho-Chunk Gaming Madison</v>
      </c>
    </row>
    <row r="193" spans="2:13">
      <c r="B193" s="50">
        <f t="shared" si="15"/>
        <v>45991</v>
      </c>
      <c r="C193" s="6">
        <v>3105048</v>
      </c>
      <c r="D193">
        <v>2641001</v>
      </c>
      <c r="E193" s="3">
        <v>87041</v>
      </c>
      <c r="F193" s="3">
        <v>-2397.75</v>
      </c>
      <c r="G193" s="3">
        <v>-1966.155</v>
      </c>
      <c r="H193" s="10">
        <v>-431.59499999999997</v>
      </c>
      <c r="I193" s="10">
        <f t="shared" si="16"/>
        <v>-431.59499999999997</v>
      </c>
      <c r="J193" s="10">
        <f t="shared" si="14"/>
        <v>-431.59499999999997</v>
      </c>
      <c r="K193">
        <v>29</v>
      </c>
      <c r="L193">
        <v>0.18</v>
      </c>
      <c r="M193" t="str">
        <f>VLOOKUP(C193,Lookup!B:C,2,0)</f>
        <v>Ho-Chunk Gaming Madison</v>
      </c>
    </row>
    <row r="194" spans="2:13">
      <c r="B194" s="50">
        <f t="shared" si="15"/>
        <v>45991</v>
      </c>
      <c r="C194" s="6">
        <v>3105048</v>
      </c>
      <c r="D194">
        <v>2391275</v>
      </c>
      <c r="E194" s="3">
        <v>225951</v>
      </c>
      <c r="F194" s="3">
        <v>11904.51</v>
      </c>
      <c r="G194" s="3">
        <v>9761.6981999999989</v>
      </c>
      <c r="H194" s="10">
        <v>2142.8117999999999</v>
      </c>
      <c r="I194" s="10">
        <f t="shared" si="16"/>
        <v>2142.8117999999999</v>
      </c>
      <c r="J194" s="10">
        <f t="shared" ref="J194:J257" si="17">I194</f>
        <v>2142.8117999999999</v>
      </c>
      <c r="K194">
        <v>30</v>
      </c>
      <c r="L194">
        <v>0.18</v>
      </c>
      <c r="M194" t="str">
        <f>VLOOKUP(C194,Lookup!B:C,2,0)</f>
        <v>Ho-Chunk Gaming Madison</v>
      </c>
    </row>
    <row r="195" spans="2:13">
      <c r="B195" s="50">
        <f t="shared" ref="B195:B216" si="18">B194</f>
        <v>45991</v>
      </c>
      <c r="C195" s="6">
        <v>3105048</v>
      </c>
      <c r="D195">
        <v>2375787</v>
      </c>
      <c r="E195" s="3">
        <v>134109</v>
      </c>
      <c r="F195" s="3">
        <v>2609.71</v>
      </c>
      <c r="G195" s="3">
        <v>2139.9621999999999</v>
      </c>
      <c r="H195" s="10">
        <v>469.74779999999998</v>
      </c>
      <c r="I195" s="10">
        <f t="shared" si="16"/>
        <v>469.74779999999998</v>
      </c>
      <c r="J195" s="10">
        <f t="shared" si="17"/>
        <v>469.74779999999998</v>
      </c>
      <c r="K195">
        <v>30</v>
      </c>
      <c r="L195">
        <v>0.18</v>
      </c>
      <c r="M195" t="str">
        <f>VLOOKUP(C195,Lookup!B:C,2,0)</f>
        <v>Ho-Chunk Gaming Madison</v>
      </c>
    </row>
    <row r="196" spans="2:13">
      <c r="B196" s="50">
        <f t="shared" si="18"/>
        <v>45991</v>
      </c>
      <c r="C196" s="6">
        <v>3105048</v>
      </c>
      <c r="D196">
        <v>2391830</v>
      </c>
      <c r="E196" s="3">
        <v>145750</v>
      </c>
      <c r="F196" s="3">
        <v>12162</v>
      </c>
      <c r="G196" s="3">
        <v>9972.84</v>
      </c>
      <c r="H196" s="10">
        <v>2189.16</v>
      </c>
      <c r="I196" s="10">
        <f t="shared" ref="I196:I259" si="19">H196</f>
        <v>2189.16</v>
      </c>
      <c r="J196" s="10">
        <f t="shared" si="17"/>
        <v>2189.16</v>
      </c>
      <c r="K196">
        <v>30</v>
      </c>
      <c r="L196">
        <v>0.18</v>
      </c>
      <c r="M196" t="str">
        <f>VLOOKUP(C196,Lookup!B:C,2,0)</f>
        <v>Ho-Chunk Gaming Madison</v>
      </c>
    </row>
    <row r="197" spans="2:13">
      <c r="B197" s="50">
        <f t="shared" si="18"/>
        <v>45991</v>
      </c>
      <c r="C197" s="6">
        <v>3105048</v>
      </c>
      <c r="D197">
        <v>2369720</v>
      </c>
      <c r="E197" s="3">
        <v>147979</v>
      </c>
      <c r="F197" s="3">
        <v>5412.41</v>
      </c>
      <c r="G197" s="3">
        <v>4438.1761999999999</v>
      </c>
      <c r="H197" s="10">
        <v>974.23379999999997</v>
      </c>
      <c r="I197" s="10">
        <f t="shared" si="19"/>
        <v>974.23379999999997</v>
      </c>
      <c r="J197" s="10">
        <f t="shared" si="17"/>
        <v>974.23379999999997</v>
      </c>
      <c r="K197">
        <v>30</v>
      </c>
      <c r="L197">
        <v>0.18</v>
      </c>
      <c r="M197" t="str">
        <f>VLOOKUP(C197,Lookup!B:C,2,0)</f>
        <v>Ho-Chunk Gaming Madison</v>
      </c>
    </row>
    <row r="198" spans="2:13">
      <c r="B198" s="50">
        <f t="shared" si="18"/>
        <v>45991</v>
      </c>
      <c r="C198" s="6">
        <v>3105048</v>
      </c>
      <c r="D198">
        <v>2383448</v>
      </c>
      <c r="E198" s="3">
        <v>352452</v>
      </c>
      <c r="F198" s="3">
        <v>7444.44</v>
      </c>
      <c r="G198" s="3">
        <v>6104.4407999999994</v>
      </c>
      <c r="H198" s="10">
        <v>1339.9992</v>
      </c>
      <c r="I198" s="10">
        <f t="shared" si="19"/>
        <v>1339.9992</v>
      </c>
      <c r="J198" s="10">
        <f t="shared" si="17"/>
        <v>1339.9992</v>
      </c>
      <c r="K198">
        <v>30</v>
      </c>
      <c r="L198">
        <v>0.18</v>
      </c>
      <c r="M198" t="str">
        <f>VLOOKUP(C198,Lookup!B:C,2,0)</f>
        <v>Ho-Chunk Gaming Madison</v>
      </c>
    </row>
    <row r="199" spans="2:13">
      <c r="B199" s="50">
        <f t="shared" si="18"/>
        <v>45991</v>
      </c>
      <c r="C199" s="6">
        <v>3105048</v>
      </c>
      <c r="D199">
        <v>2391273</v>
      </c>
      <c r="E199" s="3">
        <v>162242</v>
      </c>
      <c r="F199" s="3">
        <v>16787</v>
      </c>
      <c r="G199" s="3">
        <v>13765.339999999998</v>
      </c>
      <c r="H199" s="10">
        <v>3021.66</v>
      </c>
      <c r="I199" s="10">
        <f t="shared" si="19"/>
        <v>3021.66</v>
      </c>
      <c r="J199" s="10">
        <f t="shared" si="17"/>
        <v>3021.66</v>
      </c>
      <c r="K199">
        <v>30</v>
      </c>
      <c r="L199">
        <v>0.18</v>
      </c>
      <c r="M199" t="str">
        <f>VLOOKUP(C199,Lookup!B:C,2,0)</f>
        <v>Ho-Chunk Gaming Madison</v>
      </c>
    </row>
    <row r="200" spans="2:13">
      <c r="B200" s="50">
        <f t="shared" si="18"/>
        <v>45991</v>
      </c>
      <c r="C200" s="6">
        <v>3105048</v>
      </c>
      <c r="D200">
        <v>2400983</v>
      </c>
      <c r="E200" s="3">
        <v>171405</v>
      </c>
      <c r="F200" s="3">
        <v>14647.88</v>
      </c>
      <c r="G200" s="3">
        <v>12011.261599999998</v>
      </c>
      <c r="H200" s="10">
        <v>2636.6183999999998</v>
      </c>
      <c r="I200" s="10">
        <f t="shared" si="19"/>
        <v>2636.6183999999998</v>
      </c>
      <c r="J200" s="10">
        <f t="shared" si="17"/>
        <v>2636.6183999999998</v>
      </c>
      <c r="K200">
        <v>30</v>
      </c>
      <c r="L200">
        <v>0.18</v>
      </c>
      <c r="M200" t="str">
        <f>VLOOKUP(C200,Lookup!B:C,2,0)</f>
        <v>Ho-Chunk Gaming Madison</v>
      </c>
    </row>
    <row r="201" spans="2:13">
      <c r="B201" s="50">
        <f t="shared" si="18"/>
        <v>45991</v>
      </c>
      <c r="C201" s="6">
        <v>3105048</v>
      </c>
      <c r="D201">
        <v>2383446</v>
      </c>
      <c r="E201" s="3">
        <v>339156</v>
      </c>
      <c r="F201" s="3">
        <v>11933.27</v>
      </c>
      <c r="G201" s="3">
        <v>9785.2813999999998</v>
      </c>
      <c r="H201" s="10">
        <v>2147.9886000000001</v>
      </c>
      <c r="I201" s="10">
        <f t="shared" si="19"/>
        <v>2147.9886000000001</v>
      </c>
      <c r="J201" s="10">
        <f t="shared" si="17"/>
        <v>2147.9886000000001</v>
      </c>
      <c r="K201">
        <v>30</v>
      </c>
      <c r="L201">
        <v>0.18</v>
      </c>
      <c r="M201" t="str">
        <f>VLOOKUP(C201,Lookup!B:C,2,0)</f>
        <v>Ho-Chunk Gaming Madison</v>
      </c>
    </row>
    <row r="202" spans="2:13">
      <c r="B202" s="50">
        <f t="shared" si="18"/>
        <v>45991</v>
      </c>
      <c r="C202" s="6">
        <v>3105048</v>
      </c>
      <c r="D202">
        <v>2405553</v>
      </c>
      <c r="E202" s="3">
        <v>106305</v>
      </c>
      <c r="F202" s="3">
        <v>17160.3</v>
      </c>
      <c r="G202" s="3">
        <v>14071.445999999998</v>
      </c>
      <c r="H202" s="10">
        <v>3088.8539999999998</v>
      </c>
      <c r="I202" s="10">
        <f t="shared" si="19"/>
        <v>3088.8539999999998</v>
      </c>
      <c r="J202" s="10">
        <f t="shared" si="17"/>
        <v>3088.8539999999998</v>
      </c>
      <c r="K202">
        <v>30</v>
      </c>
      <c r="L202">
        <v>0.18</v>
      </c>
      <c r="M202" t="str">
        <f>VLOOKUP(C202,Lookup!B:C,2,0)</f>
        <v>Ho-Chunk Gaming Madison</v>
      </c>
    </row>
    <row r="203" spans="2:13">
      <c r="B203" s="50">
        <f t="shared" si="18"/>
        <v>45991</v>
      </c>
      <c r="C203" s="6">
        <v>3105048</v>
      </c>
      <c r="D203">
        <v>2405953</v>
      </c>
      <c r="E203" s="3">
        <v>180815</v>
      </c>
      <c r="F203" s="3">
        <v>-5581.47</v>
      </c>
      <c r="G203" s="3">
        <v>-4576.8054000000002</v>
      </c>
      <c r="H203" s="10">
        <v>-1004.6646000000001</v>
      </c>
      <c r="I203" s="10">
        <f t="shared" si="19"/>
        <v>-1004.6646000000001</v>
      </c>
      <c r="J203" s="10">
        <f t="shared" si="17"/>
        <v>-1004.6646000000001</v>
      </c>
      <c r="K203">
        <v>30</v>
      </c>
      <c r="L203">
        <v>0.18</v>
      </c>
      <c r="M203" t="str">
        <f>VLOOKUP(C203,Lookup!B:C,2,0)</f>
        <v>Ho-Chunk Gaming Madison</v>
      </c>
    </row>
    <row r="204" spans="2:13">
      <c r="B204" s="50">
        <f t="shared" si="18"/>
        <v>45991</v>
      </c>
      <c r="C204" s="6">
        <v>3105048</v>
      </c>
      <c r="D204">
        <v>2120752</v>
      </c>
      <c r="E204" s="3">
        <v>164360</v>
      </c>
      <c r="F204" s="3">
        <v>22743</v>
      </c>
      <c r="G204" s="3">
        <v>18649.259999999998</v>
      </c>
      <c r="H204" s="10">
        <v>4093.74</v>
      </c>
      <c r="I204" s="10">
        <f t="shared" si="19"/>
        <v>4093.74</v>
      </c>
      <c r="J204" s="10">
        <f t="shared" si="17"/>
        <v>4093.74</v>
      </c>
      <c r="K204">
        <v>30</v>
      </c>
      <c r="L204">
        <v>0.18</v>
      </c>
      <c r="M204" t="str">
        <f>VLOOKUP(C204,Lookup!B:C,2,0)</f>
        <v>Ho-Chunk Gaming Madison</v>
      </c>
    </row>
    <row r="205" spans="2:13">
      <c r="B205" s="50">
        <f t="shared" si="18"/>
        <v>45991</v>
      </c>
      <c r="C205" s="6">
        <v>3105048</v>
      </c>
      <c r="D205">
        <v>2264385</v>
      </c>
      <c r="E205" s="3">
        <v>105101</v>
      </c>
      <c r="F205" s="3">
        <v>3121</v>
      </c>
      <c r="G205" s="3">
        <v>2559.2199999999998</v>
      </c>
      <c r="H205" s="10">
        <v>561.78</v>
      </c>
      <c r="I205" s="10">
        <f t="shared" si="19"/>
        <v>561.78</v>
      </c>
      <c r="J205" s="10">
        <f t="shared" si="17"/>
        <v>561.78</v>
      </c>
      <c r="K205">
        <v>30</v>
      </c>
      <c r="L205">
        <v>0.18</v>
      </c>
      <c r="M205" t="str">
        <f>VLOOKUP(C205,Lookup!B:C,2,0)</f>
        <v>Ho-Chunk Gaming Madison</v>
      </c>
    </row>
    <row r="206" spans="2:13">
      <c r="B206" s="50">
        <f t="shared" si="18"/>
        <v>45991</v>
      </c>
      <c r="C206" s="6">
        <v>3105048</v>
      </c>
      <c r="D206">
        <v>2370291</v>
      </c>
      <c r="E206" s="3">
        <v>224994</v>
      </c>
      <c r="F206" s="3">
        <v>10563</v>
      </c>
      <c r="G206" s="3">
        <v>8661.66</v>
      </c>
      <c r="H206" s="10">
        <v>1901.34</v>
      </c>
      <c r="I206" s="10">
        <f t="shared" si="19"/>
        <v>1901.34</v>
      </c>
      <c r="J206" s="10">
        <f t="shared" si="17"/>
        <v>1901.34</v>
      </c>
      <c r="K206">
        <v>30</v>
      </c>
      <c r="L206">
        <v>0.18</v>
      </c>
      <c r="M206" t="str">
        <f>VLOOKUP(C206,Lookup!B:C,2,0)</f>
        <v>Ho-Chunk Gaming Madison</v>
      </c>
    </row>
    <row r="207" spans="2:13">
      <c r="B207" s="50">
        <f t="shared" si="18"/>
        <v>45991</v>
      </c>
      <c r="C207" s="6">
        <v>3105048</v>
      </c>
      <c r="D207">
        <v>2410246</v>
      </c>
      <c r="E207" s="3">
        <v>167224</v>
      </c>
      <c r="F207" s="3">
        <v>26573.18</v>
      </c>
      <c r="G207" s="3">
        <v>21790.007599999997</v>
      </c>
      <c r="H207" s="10">
        <v>4783.1723999999995</v>
      </c>
      <c r="I207" s="10">
        <f t="shared" si="19"/>
        <v>4783.1723999999995</v>
      </c>
      <c r="J207" s="10">
        <f t="shared" si="17"/>
        <v>4783.1723999999995</v>
      </c>
      <c r="K207">
        <v>30</v>
      </c>
      <c r="L207">
        <v>0.18</v>
      </c>
      <c r="M207" t="str">
        <f>VLOOKUP(C207,Lookup!B:C,2,0)</f>
        <v>Ho-Chunk Gaming Madison</v>
      </c>
    </row>
    <row r="208" spans="2:13">
      <c r="B208" s="50">
        <f t="shared" si="18"/>
        <v>45991</v>
      </c>
      <c r="C208" s="6">
        <v>3105048</v>
      </c>
      <c r="D208">
        <v>2409282</v>
      </c>
      <c r="E208" s="3">
        <v>44643</v>
      </c>
      <c r="F208" s="3">
        <v>-6252</v>
      </c>
      <c r="G208" s="3">
        <v>-5126.6399999999994</v>
      </c>
      <c r="H208" s="10">
        <v>-1125.3599999999999</v>
      </c>
      <c r="I208" s="10">
        <f t="shared" si="19"/>
        <v>-1125.3599999999999</v>
      </c>
      <c r="J208" s="10">
        <f t="shared" si="17"/>
        <v>-1125.3599999999999</v>
      </c>
      <c r="K208">
        <v>30</v>
      </c>
      <c r="L208">
        <v>0.18</v>
      </c>
      <c r="M208" t="str">
        <f>VLOOKUP(C208,Lookup!B:C,2,0)</f>
        <v>Ho-Chunk Gaming Madison</v>
      </c>
    </row>
    <row r="209" spans="2:13">
      <c r="B209" s="50">
        <f t="shared" si="18"/>
        <v>45991</v>
      </c>
      <c r="C209" s="6">
        <v>3105048</v>
      </c>
      <c r="D209">
        <v>2391277</v>
      </c>
      <c r="E209" s="3">
        <v>107950</v>
      </c>
      <c r="F209" s="3">
        <v>9591.7800000000007</v>
      </c>
      <c r="G209" s="3">
        <v>7865.2596000000003</v>
      </c>
      <c r="H209" s="10">
        <v>1726.5204000000001</v>
      </c>
      <c r="I209" s="10">
        <f t="shared" si="19"/>
        <v>1726.5204000000001</v>
      </c>
      <c r="J209" s="10">
        <f t="shared" si="17"/>
        <v>1726.5204000000001</v>
      </c>
      <c r="K209">
        <v>30</v>
      </c>
      <c r="L209">
        <v>0.18</v>
      </c>
      <c r="M209" t="str">
        <f>VLOOKUP(C209,Lookup!B:C,2,0)</f>
        <v>Ho-Chunk Gaming Madison</v>
      </c>
    </row>
    <row r="210" spans="2:13">
      <c r="B210" s="50">
        <f t="shared" si="18"/>
        <v>45991</v>
      </c>
      <c r="C210" s="6">
        <v>3105048</v>
      </c>
      <c r="D210">
        <v>2638170</v>
      </c>
      <c r="E210" s="3">
        <v>194885</v>
      </c>
      <c r="F210" s="3">
        <v>15852.47</v>
      </c>
      <c r="G210" s="3">
        <v>12999.025399999999</v>
      </c>
      <c r="H210" s="10">
        <v>2853.4445999999998</v>
      </c>
      <c r="I210" s="10">
        <f t="shared" si="19"/>
        <v>2853.4445999999998</v>
      </c>
      <c r="J210" s="10">
        <f t="shared" si="17"/>
        <v>2853.4445999999998</v>
      </c>
      <c r="K210">
        <v>30</v>
      </c>
      <c r="L210">
        <v>0.18</v>
      </c>
      <c r="M210" t="str">
        <f>VLOOKUP(C210,Lookup!B:C,2,0)</f>
        <v>Ho-Chunk Gaming Madison</v>
      </c>
    </row>
    <row r="211" spans="2:13">
      <c r="B211" s="50">
        <f t="shared" si="18"/>
        <v>45991</v>
      </c>
      <c r="C211" s="6">
        <v>3105048</v>
      </c>
      <c r="D211">
        <v>2201435</v>
      </c>
      <c r="E211" s="3">
        <v>135310</v>
      </c>
      <c r="F211" s="3">
        <v>7745.5</v>
      </c>
      <c r="G211" s="3">
        <v>6351.3099999999995</v>
      </c>
      <c r="H211" s="10">
        <v>1394.19</v>
      </c>
      <c r="I211" s="10">
        <f t="shared" si="19"/>
        <v>1394.19</v>
      </c>
      <c r="J211" s="10">
        <f t="shared" si="17"/>
        <v>1394.19</v>
      </c>
      <c r="K211">
        <v>30</v>
      </c>
      <c r="L211">
        <v>0.18</v>
      </c>
      <c r="M211" t="str">
        <f>VLOOKUP(C211,Lookup!B:C,2,0)</f>
        <v>Ho-Chunk Gaming Madison</v>
      </c>
    </row>
    <row r="212" spans="2:13">
      <c r="B212" s="50">
        <f t="shared" si="18"/>
        <v>45991</v>
      </c>
      <c r="C212" s="6">
        <v>3105048</v>
      </c>
      <c r="D212">
        <v>1970517</v>
      </c>
      <c r="E212" s="3">
        <v>201940</v>
      </c>
      <c r="F212" s="3">
        <v>10624</v>
      </c>
      <c r="G212" s="3">
        <v>8711.68</v>
      </c>
      <c r="H212" s="10">
        <v>1912.32</v>
      </c>
      <c r="I212" s="10">
        <f t="shared" si="19"/>
        <v>1912.32</v>
      </c>
      <c r="J212" s="10">
        <f t="shared" si="17"/>
        <v>1912.32</v>
      </c>
      <c r="K212">
        <v>30</v>
      </c>
      <c r="L212">
        <v>0.18</v>
      </c>
      <c r="M212" t="str">
        <f>VLOOKUP(C212,Lookup!B:C,2,0)</f>
        <v>Ho-Chunk Gaming Madison</v>
      </c>
    </row>
    <row r="213" spans="2:13">
      <c r="B213" s="50">
        <f t="shared" si="18"/>
        <v>45991</v>
      </c>
      <c r="C213" s="6">
        <v>3105048</v>
      </c>
      <c r="D213">
        <v>2638169</v>
      </c>
      <c r="E213" s="3">
        <v>145050</v>
      </c>
      <c r="F213" s="3">
        <v>-1545</v>
      </c>
      <c r="G213" s="3">
        <v>-1266.8999999999999</v>
      </c>
      <c r="H213" s="10">
        <v>-278.09999999999997</v>
      </c>
      <c r="I213" s="10">
        <f t="shared" si="19"/>
        <v>-278.09999999999997</v>
      </c>
      <c r="J213" s="10">
        <f t="shared" si="17"/>
        <v>-278.09999999999997</v>
      </c>
      <c r="K213">
        <v>30</v>
      </c>
      <c r="L213">
        <v>0.18</v>
      </c>
      <c r="M213" t="str">
        <f>VLOOKUP(C213,Lookup!B:C,2,0)</f>
        <v>Ho-Chunk Gaming Madison</v>
      </c>
    </row>
    <row r="214" spans="2:13">
      <c r="B214" s="50">
        <f t="shared" si="18"/>
        <v>45991</v>
      </c>
      <c r="C214" s="6">
        <v>3105048</v>
      </c>
      <c r="D214">
        <v>1916633</v>
      </c>
      <c r="E214" s="3">
        <v>108695</v>
      </c>
      <c r="F214" s="3">
        <v>17150</v>
      </c>
      <c r="G214" s="3">
        <v>14063</v>
      </c>
      <c r="H214" s="10">
        <v>3087</v>
      </c>
      <c r="I214" s="10">
        <f t="shared" si="19"/>
        <v>3087</v>
      </c>
      <c r="J214" s="10">
        <f t="shared" si="17"/>
        <v>3087</v>
      </c>
      <c r="K214">
        <v>30</v>
      </c>
      <c r="L214">
        <v>0.18</v>
      </c>
      <c r="M214" t="str">
        <f>VLOOKUP(C214,Lookup!B:C,2,0)</f>
        <v>Ho-Chunk Gaming Madison</v>
      </c>
    </row>
    <row r="215" spans="2:13">
      <c r="B215" s="50">
        <f t="shared" si="18"/>
        <v>45991</v>
      </c>
      <c r="C215" s="6">
        <v>3105048</v>
      </c>
      <c r="D215">
        <v>2177496</v>
      </c>
      <c r="E215" s="3">
        <v>159625</v>
      </c>
      <c r="F215" s="3">
        <v>14921</v>
      </c>
      <c r="G215" s="3">
        <v>12235.22</v>
      </c>
      <c r="H215" s="10">
        <v>2685.7799999999997</v>
      </c>
      <c r="I215" s="10">
        <f t="shared" si="19"/>
        <v>2685.7799999999997</v>
      </c>
      <c r="J215" s="10">
        <f t="shared" si="17"/>
        <v>2685.7799999999997</v>
      </c>
      <c r="K215">
        <v>30</v>
      </c>
      <c r="L215">
        <v>0.18</v>
      </c>
      <c r="M215" t="str">
        <f>VLOOKUP(C215,Lookup!B:C,2,0)</f>
        <v>Ho-Chunk Gaming Madison</v>
      </c>
    </row>
    <row r="216" spans="2:13">
      <c r="B216" s="50">
        <f t="shared" si="18"/>
        <v>45991</v>
      </c>
      <c r="C216" s="6">
        <v>3118229</v>
      </c>
      <c r="D216">
        <v>2593218</v>
      </c>
      <c r="E216" s="3">
        <v>540922</v>
      </c>
      <c r="F216" s="3">
        <v>12291.52</v>
      </c>
      <c r="G216" s="3">
        <f>+F216-H216</f>
        <v>10447.791999999999</v>
      </c>
      <c r="H216" s="10">
        <v>1843.7280000000005</v>
      </c>
      <c r="I216" s="10">
        <f t="shared" si="19"/>
        <v>1843.7280000000005</v>
      </c>
      <c r="J216" s="10">
        <f t="shared" si="17"/>
        <v>1843.7280000000005</v>
      </c>
      <c r="K216">
        <v>30</v>
      </c>
      <c r="L216">
        <v>0.15</v>
      </c>
      <c r="M216" t="str">
        <f>VLOOKUP(C216,Lookup!B:C,2,0)</f>
        <v>Naskila Casino</v>
      </c>
    </row>
    <row r="217" spans="2:13">
      <c r="B217" s="50">
        <f t="shared" ref="B217:B256" si="20">B216</f>
        <v>45991</v>
      </c>
      <c r="C217" s="6">
        <v>3118229</v>
      </c>
      <c r="D217">
        <v>2593219</v>
      </c>
      <c r="E217" s="3">
        <v>446552.8</v>
      </c>
      <c r="F217" s="3">
        <v>30123.289999999994</v>
      </c>
      <c r="G217" s="3">
        <f t="shared" ref="G217:G261" si="21">+F217-H217</f>
        <v>25604.796499999997</v>
      </c>
      <c r="H217" s="10">
        <v>4518.4934999999987</v>
      </c>
      <c r="I217" s="10">
        <f t="shared" si="19"/>
        <v>4518.4934999999987</v>
      </c>
      <c r="J217" s="10">
        <f t="shared" si="17"/>
        <v>4518.4934999999987</v>
      </c>
      <c r="K217">
        <v>30</v>
      </c>
      <c r="L217">
        <v>0.15</v>
      </c>
      <c r="M217" t="str">
        <f>VLOOKUP(C217,Lookup!B:C,2,0)</f>
        <v>Naskila Casino</v>
      </c>
    </row>
    <row r="218" spans="2:13">
      <c r="B218" s="50">
        <f t="shared" si="20"/>
        <v>45991</v>
      </c>
      <c r="C218" s="6">
        <v>3118229</v>
      </c>
      <c r="D218">
        <v>2593220</v>
      </c>
      <c r="E218" s="3">
        <v>429690.4</v>
      </c>
      <c r="F218" s="3">
        <v>29781.969999999998</v>
      </c>
      <c r="G218" s="3">
        <f t="shared" si="21"/>
        <v>25314.674499999997</v>
      </c>
      <c r="H218" s="10">
        <v>4467.2955000000002</v>
      </c>
      <c r="I218" s="10">
        <f t="shared" si="19"/>
        <v>4467.2955000000002</v>
      </c>
      <c r="J218" s="10">
        <f t="shared" si="17"/>
        <v>4467.2955000000002</v>
      </c>
      <c r="K218">
        <v>30</v>
      </c>
      <c r="L218">
        <v>0.15</v>
      </c>
      <c r="M218" t="str">
        <f>VLOOKUP(C218,Lookup!B:C,2,0)</f>
        <v>Naskila Casino</v>
      </c>
    </row>
    <row r="219" spans="2:13">
      <c r="B219" s="50">
        <f t="shared" si="20"/>
        <v>45991</v>
      </c>
      <c r="C219" s="6">
        <v>3118229</v>
      </c>
      <c r="D219">
        <v>2593221</v>
      </c>
      <c r="E219" s="3">
        <v>463451.2</v>
      </c>
      <c r="F219" s="3">
        <v>29549</v>
      </c>
      <c r="G219" s="3">
        <f t="shared" si="21"/>
        <v>25116.65</v>
      </c>
      <c r="H219" s="10">
        <v>4432.3500000000004</v>
      </c>
      <c r="I219" s="10">
        <f t="shared" si="19"/>
        <v>4432.3500000000004</v>
      </c>
      <c r="J219" s="10">
        <f t="shared" si="17"/>
        <v>4432.3500000000004</v>
      </c>
      <c r="K219">
        <v>30</v>
      </c>
      <c r="L219">
        <v>0.15</v>
      </c>
      <c r="M219" t="str">
        <f>VLOOKUP(C219,Lookup!B:C,2,0)</f>
        <v>Naskila Casino</v>
      </c>
    </row>
    <row r="220" spans="2:13">
      <c r="B220" s="50">
        <f t="shared" si="20"/>
        <v>45991</v>
      </c>
      <c r="C220" s="6">
        <v>3118229</v>
      </c>
      <c r="D220">
        <v>2593222</v>
      </c>
      <c r="E220" s="3">
        <v>464765.62</v>
      </c>
      <c r="F220" s="3">
        <v>16027.579999999998</v>
      </c>
      <c r="G220" s="3">
        <f t="shared" si="21"/>
        <v>13623.442999999999</v>
      </c>
      <c r="H220" s="10">
        <v>2404.1369999999997</v>
      </c>
      <c r="I220" s="10">
        <f t="shared" si="19"/>
        <v>2404.1369999999997</v>
      </c>
      <c r="J220" s="10">
        <f t="shared" si="17"/>
        <v>2404.1369999999997</v>
      </c>
      <c r="K220">
        <v>30</v>
      </c>
      <c r="L220">
        <v>0.15</v>
      </c>
      <c r="M220" t="str">
        <f>VLOOKUP(C220,Lookup!B:C,2,0)</f>
        <v>Naskila Casino</v>
      </c>
    </row>
    <row r="221" spans="2:13">
      <c r="B221" s="50">
        <f t="shared" si="20"/>
        <v>45991</v>
      </c>
      <c r="C221" s="6">
        <v>3118229</v>
      </c>
      <c r="D221">
        <v>2593223</v>
      </c>
      <c r="E221" s="3">
        <v>372606.02</v>
      </c>
      <c r="F221" s="3">
        <v>37093</v>
      </c>
      <c r="G221" s="3">
        <f t="shared" si="21"/>
        <v>31529.050000000003</v>
      </c>
      <c r="H221" s="10">
        <v>5563.9499999999989</v>
      </c>
      <c r="I221" s="10">
        <f t="shared" si="19"/>
        <v>5563.9499999999989</v>
      </c>
      <c r="J221" s="10">
        <f t="shared" si="17"/>
        <v>5563.9499999999989</v>
      </c>
      <c r="K221">
        <v>30</v>
      </c>
      <c r="L221">
        <v>0.15</v>
      </c>
      <c r="M221" t="str">
        <f>VLOOKUP(C221,Lookup!B:C,2,0)</f>
        <v>Naskila Casino</v>
      </c>
    </row>
    <row r="222" spans="2:13">
      <c r="B222" s="50">
        <f t="shared" si="20"/>
        <v>45991</v>
      </c>
      <c r="C222" s="6">
        <v>3118229</v>
      </c>
      <c r="D222">
        <v>2593224</v>
      </c>
      <c r="E222" s="3">
        <v>526802.5</v>
      </c>
      <c r="F222" s="3">
        <v>31766.46</v>
      </c>
      <c r="G222" s="3">
        <f t="shared" si="21"/>
        <v>27001.490999999998</v>
      </c>
      <c r="H222" s="10">
        <v>4764.9690000000001</v>
      </c>
      <c r="I222" s="10">
        <f t="shared" si="19"/>
        <v>4764.9690000000001</v>
      </c>
      <c r="J222" s="10">
        <f t="shared" si="17"/>
        <v>4764.9690000000001</v>
      </c>
      <c r="K222">
        <v>30</v>
      </c>
      <c r="L222">
        <v>0.15</v>
      </c>
      <c r="M222" t="str">
        <f>VLOOKUP(C222,Lookup!B:C,2,0)</f>
        <v>Naskila Casino</v>
      </c>
    </row>
    <row r="223" spans="2:13">
      <c r="B223" s="50">
        <f t="shared" si="20"/>
        <v>45991</v>
      </c>
      <c r="C223" s="6">
        <v>3118229</v>
      </c>
      <c r="D223">
        <v>2593225</v>
      </c>
      <c r="E223" s="3">
        <v>377406.5</v>
      </c>
      <c r="F223" s="3">
        <v>31781.370000000003</v>
      </c>
      <c r="G223" s="3">
        <f t="shared" si="21"/>
        <v>27014.164500000003</v>
      </c>
      <c r="H223" s="10">
        <v>4767.2055</v>
      </c>
      <c r="I223" s="10">
        <f t="shared" si="19"/>
        <v>4767.2055</v>
      </c>
      <c r="J223" s="10">
        <f t="shared" si="17"/>
        <v>4767.2055</v>
      </c>
      <c r="K223">
        <v>30</v>
      </c>
      <c r="L223">
        <v>0.15</v>
      </c>
      <c r="M223" t="str">
        <f>VLOOKUP(C223,Lookup!B:C,2,0)</f>
        <v>Naskila Casino</v>
      </c>
    </row>
    <row r="224" spans="2:13">
      <c r="B224" s="50">
        <f t="shared" si="20"/>
        <v>45991</v>
      </c>
      <c r="C224" s="6">
        <v>3118229</v>
      </c>
      <c r="D224">
        <v>2593226</v>
      </c>
      <c r="E224" s="3">
        <v>277235</v>
      </c>
      <c r="F224" s="3">
        <v>22743.739999999998</v>
      </c>
      <c r="G224" s="3">
        <f t="shared" si="21"/>
        <v>19332.178999999996</v>
      </c>
      <c r="H224" s="10">
        <v>3411.5609999999997</v>
      </c>
      <c r="I224" s="10">
        <f t="shared" si="19"/>
        <v>3411.5609999999997</v>
      </c>
      <c r="J224" s="10">
        <f t="shared" si="17"/>
        <v>3411.5609999999997</v>
      </c>
      <c r="K224">
        <v>30</v>
      </c>
      <c r="L224">
        <v>0.15</v>
      </c>
      <c r="M224" t="str">
        <f>VLOOKUP(C224,Lookup!B:C,2,0)</f>
        <v>Naskila Casino</v>
      </c>
    </row>
    <row r="225" spans="2:13">
      <c r="B225" s="50">
        <f t="shared" si="20"/>
        <v>45991</v>
      </c>
      <c r="C225" s="6">
        <v>3118229</v>
      </c>
      <c r="D225">
        <v>2593229</v>
      </c>
      <c r="E225" s="3">
        <v>126720</v>
      </c>
      <c r="F225" s="3">
        <v>7485.5899999999992</v>
      </c>
      <c r="G225" s="3">
        <f t="shared" si="21"/>
        <v>6362.7514999999985</v>
      </c>
      <c r="H225" s="10">
        <v>1122.8385000000003</v>
      </c>
      <c r="I225" s="10">
        <f t="shared" si="19"/>
        <v>1122.8385000000003</v>
      </c>
      <c r="J225" s="10">
        <f t="shared" si="17"/>
        <v>1122.8385000000003</v>
      </c>
      <c r="K225">
        <v>30</v>
      </c>
      <c r="L225">
        <v>0.15</v>
      </c>
      <c r="M225" t="str">
        <f>VLOOKUP(C225,Lookup!B:C,2,0)</f>
        <v>Naskila Casino</v>
      </c>
    </row>
    <row r="226" spans="2:13">
      <c r="B226" s="50">
        <f t="shared" si="20"/>
        <v>45991</v>
      </c>
      <c r="C226" s="6">
        <v>3118229</v>
      </c>
      <c r="D226">
        <v>2593230</v>
      </c>
      <c r="E226" s="3">
        <v>335931.4</v>
      </c>
      <c r="F226" s="3">
        <v>23340.91</v>
      </c>
      <c r="G226" s="3">
        <f t="shared" si="21"/>
        <v>19839.773499999999</v>
      </c>
      <c r="H226" s="10">
        <v>3501.1365000000005</v>
      </c>
      <c r="I226" s="10">
        <f t="shared" si="19"/>
        <v>3501.1365000000005</v>
      </c>
      <c r="J226" s="10">
        <f t="shared" si="17"/>
        <v>3501.1365000000005</v>
      </c>
      <c r="K226">
        <v>30</v>
      </c>
      <c r="L226">
        <v>0.15</v>
      </c>
      <c r="M226" t="str">
        <f>VLOOKUP(C226,Lookup!B:C,2,0)</f>
        <v>Naskila Casino</v>
      </c>
    </row>
    <row r="227" spans="2:13">
      <c r="B227" s="50">
        <f t="shared" si="20"/>
        <v>45991</v>
      </c>
      <c r="C227" s="6">
        <v>3118229</v>
      </c>
      <c r="D227">
        <v>2593231</v>
      </c>
      <c r="E227" s="3">
        <v>357619.44</v>
      </c>
      <c r="F227" s="3">
        <v>29235.02</v>
      </c>
      <c r="G227" s="3">
        <f t="shared" si="21"/>
        <v>24849.767</v>
      </c>
      <c r="H227" s="10">
        <v>4385.2529999999997</v>
      </c>
      <c r="I227" s="10">
        <f t="shared" si="19"/>
        <v>4385.2529999999997</v>
      </c>
      <c r="J227" s="10">
        <f t="shared" si="17"/>
        <v>4385.2529999999997</v>
      </c>
      <c r="K227">
        <v>30</v>
      </c>
      <c r="L227">
        <v>0.15</v>
      </c>
      <c r="M227" t="str">
        <f>VLOOKUP(C227,Lookup!B:C,2,0)</f>
        <v>Naskila Casino</v>
      </c>
    </row>
    <row r="228" spans="2:13">
      <c r="B228" s="50">
        <f t="shared" si="20"/>
        <v>45991</v>
      </c>
      <c r="C228" s="6">
        <v>3118229</v>
      </c>
      <c r="D228">
        <v>2593232</v>
      </c>
      <c r="E228" s="3">
        <v>253138.2</v>
      </c>
      <c r="F228" s="3">
        <v>25350.25</v>
      </c>
      <c r="G228" s="3">
        <f t="shared" si="21"/>
        <v>21547.712500000001</v>
      </c>
      <c r="H228" s="10">
        <v>3802.5374999999995</v>
      </c>
      <c r="I228" s="10">
        <f t="shared" si="19"/>
        <v>3802.5374999999995</v>
      </c>
      <c r="J228" s="10">
        <f t="shared" si="17"/>
        <v>3802.5374999999995</v>
      </c>
      <c r="K228">
        <v>30</v>
      </c>
      <c r="L228">
        <v>0.15</v>
      </c>
      <c r="M228" t="str">
        <f>VLOOKUP(C228,Lookup!B:C,2,0)</f>
        <v>Naskila Casino</v>
      </c>
    </row>
    <row r="229" spans="2:13">
      <c r="B229" s="50">
        <f t="shared" si="20"/>
        <v>45991</v>
      </c>
      <c r="C229" s="6">
        <v>3118229</v>
      </c>
      <c r="D229">
        <v>2593233</v>
      </c>
      <c r="E229" s="3">
        <v>259506.3</v>
      </c>
      <c r="F229" s="3">
        <v>22861.69</v>
      </c>
      <c r="G229" s="3">
        <f t="shared" si="21"/>
        <v>19432.4365</v>
      </c>
      <c r="H229" s="10">
        <v>3429.2534999999998</v>
      </c>
      <c r="I229" s="10">
        <f t="shared" si="19"/>
        <v>3429.2534999999998</v>
      </c>
      <c r="J229" s="10">
        <f t="shared" si="17"/>
        <v>3429.2534999999998</v>
      </c>
      <c r="K229">
        <v>30</v>
      </c>
      <c r="L229">
        <v>0.15</v>
      </c>
      <c r="M229" t="str">
        <f>VLOOKUP(C229,Lookup!B:C,2,0)</f>
        <v>Naskila Casino</v>
      </c>
    </row>
    <row r="230" spans="2:13">
      <c r="B230" s="50">
        <f t="shared" si="20"/>
        <v>45991</v>
      </c>
      <c r="C230" s="6">
        <v>3118229</v>
      </c>
      <c r="D230">
        <v>2593234</v>
      </c>
      <c r="E230" s="3">
        <v>560081.19999999995</v>
      </c>
      <c r="F230" s="3">
        <v>40220.200000000004</v>
      </c>
      <c r="G230" s="3">
        <f t="shared" si="21"/>
        <v>34187.170000000006</v>
      </c>
      <c r="H230" s="10">
        <v>6033.0300000000007</v>
      </c>
      <c r="I230" s="10">
        <f t="shared" si="19"/>
        <v>6033.0300000000007</v>
      </c>
      <c r="J230" s="10">
        <f t="shared" si="17"/>
        <v>6033.0300000000007</v>
      </c>
      <c r="K230">
        <v>30</v>
      </c>
      <c r="L230">
        <v>0.15</v>
      </c>
      <c r="M230" t="str">
        <f>VLOOKUP(C230,Lookup!B:C,2,0)</f>
        <v>Naskila Casino</v>
      </c>
    </row>
    <row r="231" spans="2:13">
      <c r="B231" s="50">
        <f t="shared" si="20"/>
        <v>45991</v>
      </c>
      <c r="C231" s="6">
        <v>3118229</v>
      </c>
      <c r="D231">
        <v>2593235</v>
      </c>
      <c r="E231" s="3">
        <v>493448.64</v>
      </c>
      <c r="F231" s="3">
        <v>45217.729999999996</v>
      </c>
      <c r="G231" s="3">
        <f t="shared" si="21"/>
        <v>38435.070499999994</v>
      </c>
      <c r="H231" s="10">
        <v>6782.6594999999998</v>
      </c>
      <c r="I231" s="10">
        <f t="shared" si="19"/>
        <v>6782.6594999999998</v>
      </c>
      <c r="J231" s="10">
        <f t="shared" si="17"/>
        <v>6782.6594999999998</v>
      </c>
      <c r="K231">
        <v>30</v>
      </c>
      <c r="L231">
        <v>0.15</v>
      </c>
      <c r="M231" t="str">
        <f>VLOOKUP(C231,Lookup!B:C,2,0)</f>
        <v>Naskila Casino</v>
      </c>
    </row>
    <row r="232" spans="2:13">
      <c r="B232" s="50">
        <f t="shared" si="20"/>
        <v>45991</v>
      </c>
      <c r="C232" s="6">
        <v>3118229</v>
      </c>
      <c r="D232">
        <v>2595026</v>
      </c>
      <c r="E232" s="3">
        <v>274896.75</v>
      </c>
      <c r="F232" s="3">
        <v>25783.35</v>
      </c>
      <c r="G232" s="3">
        <f t="shared" si="21"/>
        <v>21915.8475</v>
      </c>
      <c r="H232" s="10">
        <v>3867.5024999999991</v>
      </c>
      <c r="I232" s="10">
        <f t="shared" si="19"/>
        <v>3867.5024999999991</v>
      </c>
      <c r="J232" s="10">
        <f t="shared" si="17"/>
        <v>3867.5024999999991</v>
      </c>
      <c r="K232">
        <v>30</v>
      </c>
      <c r="L232">
        <v>0.15</v>
      </c>
      <c r="M232" t="str">
        <f>VLOOKUP(C232,Lookup!B:C,2,0)</f>
        <v>Naskila Casino</v>
      </c>
    </row>
    <row r="233" spans="2:13">
      <c r="B233" s="50">
        <f t="shared" si="20"/>
        <v>45991</v>
      </c>
      <c r="C233" s="6">
        <v>3118229</v>
      </c>
      <c r="D233">
        <v>2595027</v>
      </c>
      <c r="E233" s="3">
        <v>294033.75</v>
      </c>
      <c r="F233" s="3">
        <v>23065.59</v>
      </c>
      <c r="G233" s="3">
        <f t="shared" si="21"/>
        <v>19605.751499999998</v>
      </c>
      <c r="H233" s="10">
        <v>3459.8385000000007</v>
      </c>
      <c r="I233" s="10">
        <f t="shared" si="19"/>
        <v>3459.8385000000007</v>
      </c>
      <c r="J233" s="10">
        <f t="shared" si="17"/>
        <v>3459.8385000000007</v>
      </c>
      <c r="K233">
        <v>30</v>
      </c>
      <c r="L233">
        <v>0.15</v>
      </c>
      <c r="M233" t="str">
        <f>VLOOKUP(C233,Lookup!B:C,2,0)</f>
        <v>Naskila Casino</v>
      </c>
    </row>
    <row r="234" spans="2:13">
      <c r="B234" s="50">
        <f t="shared" si="20"/>
        <v>45991</v>
      </c>
      <c r="C234" s="6">
        <v>3118229</v>
      </c>
      <c r="D234">
        <v>2626575</v>
      </c>
      <c r="E234" s="3">
        <v>317680</v>
      </c>
      <c r="F234" s="3">
        <v>33930.129999999997</v>
      </c>
      <c r="G234" s="3">
        <f t="shared" si="21"/>
        <v>28840.610499999995</v>
      </c>
      <c r="H234" s="10">
        <v>5089.5195000000003</v>
      </c>
      <c r="I234" s="10">
        <f t="shared" si="19"/>
        <v>5089.5195000000003</v>
      </c>
      <c r="J234" s="10">
        <f t="shared" si="17"/>
        <v>5089.5195000000003</v>
      </c>
      <c r="K234">
        <v>30</v>
      </c>
      <c r="L234">
        <v>0.15</v>
      </c>
      <c r="M234" t="str">
        <f>VLOOKUP(C234,Lookup!B:C,2,0)</f>
        <v>Naskila Casino</v>
      </c>
    </row>
    <row r="235" spans="2:13">
      <c r="B235" s="50">
        <f t="shared" si="20"/>
        <v>45991</v>
      </c>
      <c r="C235" s="6">
        <v>3118229</v>
      </c>
      <c r="D235">
        <v>2626576</v>
      </c>
      <c r="E235" s="3">
        <v>133830</v>
      </c>
      <c r="F235" s="3">
        <v>19097.36</v>
      </c>
      <c r="G235" s="3">
        <f t="shared" si="21"/>
        <v>16232.756000000001</v>
      </c>
      <c r="H235" s="10">
        <v>2864.6040000000003</v>
      </c>
      <c r="I235" s="10">
        <f t="shared" si="19"/>
        <v>2864.6040000000003</v>
      </c>
      <c r="J235" s="10">
        <f t="shared" si="17"/>
        <v>2864.6040000000003</v>
      </c>
      <c r="K235">
        <v>30</v>
      </c>
      <c r="L235">
        <v>0.15</v>
      </c>
      <c r="M235" t="str">
        <f>VLOOKUP(C235,Lookup!B:C,2,0)</f>
        <v>Naskila Casino</v>
      </c>
    </row>
    <row r="236" spans="2:13">
      <c r="B236" s="50">
        <f t="shared" si="20"/>
        <v>45991</v>
      </c>
      <c r="C236" s="6">
        <v>3118229</v>
      </c>
      <c r="D236">
        <v>2644882</v>
      </c>
      <c r="E236" s="3">
        <v>201765</v>
      </c>
      <c r="F236" s="3">
        <v>6930.119999999999</v>
      </c>
      <c r="G236" s="3">
        <f t="shared" si="21"/>
        <v>5950.601999999999</v>
      </c>
      <c r="H236" s="10">
        <v>979.51800000000026</v>
      </c>
      <c r="I236" s="10">
        <f t="shared" si="19"/>
        <v>979.51800000000026</v>
      </c>
      <c r="J236" s="10">
        <f t="shared" si="17"/>
        <v>979.51800000000026</v>
      </c>
      <c r="K236">
        <v>30</v>
      </c>
      <c r="L236">
        <v>0.15</v>
      </c>
      <c r="M236" t="str">
        <f>VLOOKUP(C236,Lookup!B:C,2,0)</f>
        <v>Naskila Casino</v>
      </c>
    </row>
    <row r="237" spans="2:13">
      <c r="B237" s="50">
        <f t="shared" si="20"/>
        <v>45991</v>
      </c>
      <c r="C237" s="6">
        <v>3118229</v>
      </c>
      <c r="D237">
        <v>2644883</v>
      </c>
      <c r="E237" s="3">
        <v>176990</v>
      </c>
      <c r="F237" s="3">
        <v>2286.0500000000029</v>
      </c>
      <c r="G237" s="3">
        <f t="shared" si="21"/>
        <v>2003.1425000000022</v>
      </c>
      <c r="H237" s="10">
        <v>282.90750000000071</v>
      </c>
      <c r="I237" s="10">
        <f t="shared" si="19"/>
        <v>282.90750000000071</v>
      </c>
      <c r="J237" s="10">
        <f t="shared" si="17"/>
        <v>282.90750000000071</v>
      </c>
      <c r="K237">
        <v>30</v>
      </c>
      <c r="L237">
        <v>0.15</v>
      </c>
      <c r="M237" t="str">
        <f>VLOOKUP(C237,Lookup!B:C,2,0)</f>
        <v>Naskila Casino</v>
      </c>
    </row>
    <row r="238" spans="2:13">
      <c r="B238" s="50">
        <f t="shared" si="20"/>
        <v>45991</v>
      </c>
      <c r="C238" s="6">
        <v>3118229</v>
      </c>
      <c r="D238">
        <v>2644896</v>
      </c>
      <c r="E238" s="3">
        <v>467342.2</v>
      </c>
      <c r="F238" s="3">
        <v>568.80000000000109</v>
      </c>
      <c r="G238" s="3">
        <f t="shared" si="21"/>
        <v>543.48000000000025</v>
      </c>
      <c r="H238" s="10">
        <v>25.320000000000846</v>
      </c>
      <c r="I238" s="10">
        <f t="shared" si="19"/>
        <v>25.320000000000846</v>
      </c>
      <c r="J238" s="10">
        <f t="shared" si="17"/>
        <v>25.320000000000846</v>
      </c>
      <c r="K238">
        <v>30</v>
      </c>
      <c r="L238">
        <v>0.15</v>
      </c>
      <c r="M238" t="str">
        <f>VLOOKUP(C238,Lookup!B:C,2,0)</f>
        <v>Naskila Casino</v>
      </c>
    </row>
    <row r="239" spans="2:13">
      <c r="B239" s="50">
        <f t="shared" si="20"/>
        <v>45991</v>
      </c>
      <c r="C239" s="6">
        <v>3118229</v>
      </c>
      <c r="D239">
        <v>2644897</v>
      </c>
      <c r="E239" s="3">
        <v>348594</v>
      </c>
      <c r="F239" s="3">
        <v>26379.719999999994</v>
      </c>
      <c r="G239" s="3">
        <f t="shared" si="21"/>
        <v>22482.761999999995</v>
      </c>
      <c r="H239" s="10">
        <v>3896.9579999999987</v>
      </c>
      <c r="I239" s="10">
        <f t="shared" si="19"/>
        <v>3896.9579999999987</v>
      </c>
      <c r="J239" s="10">
        <f t="shared" si="17"/>
        <v>3896.9579999999987</v>
      </c>
      <c r="K239">
        <v>30</v>
      </c>
      <c r="L239">
        <v>0.15</v>
      </c>
      <c r="M239" t="str">
        <f>VLOOKUP(C239,Lookup!B:C,2,0)</f>
        <v>Naskila Casino</v>
      </c>
    </row>
    <row r="240" spans="2:13">
      <c r="B240" s="50">
        <f t="shared" si="20"/>
        <v>45991</v>
      </c>
      <c r="C240" s="6">
        <v>3118229</v>
      </c>
      <c r="D240">
        <v>2644898</v>
      </c>
      <c r="E240" s="3">
        <v>349206.4</v>
      </c>
      <c r="F240" s="3">
        <v>29404.439999999995</v>
      </c>
      <c r="G240" s="3">
        <f t="shared" si="21"/>
        <v>25053.773999999998</v>
      </c>
      <c r="H240" s="10">
        <v>4350.6659999999983</v>
      </c>
      <c r="I240" s="10">
        <f t="shared" si="19"/>
        <v>4350.6659999999983</v>
      </c>
      <c r="J240" s="10">
        <f t="shared" si="17"/>
        <v>4350.6659999999983</v>
      </c>
      <c r="K240">
        <v>30</v>
      </c>
      <c r="L240">
        <v>0.15</v>
      </c>
      <c r="M240" t="str">
        <f>VLOOKUP(C240,Lookup!B:C,2,0)</f>
        <v>Naskila Casino</v>
      </c>
    </row>
    <row r="241" spans="2:13">
      <c r="B241" s="50">
        <f t="shared" si="20"/>
        <v>45991</v>
      </c>
      <c r="C241" s="6">
        <v>3118229</v>
      </c>
      <c r="D241">
        <v>2644899</v>
      </c>
      <c r="E241" s="3">
        <v>349686</v>
      </c>
      <c r="F241" s="3">
        <v>24041.380000000005</v>
      </c>
      <c r="G241" s="3">
        <f t="shared" si="21"/>
        <v>20495.173000000003</v>
      </c>
      <c r="H241" s="10">
        <v>3546.2070000000003</v>
      </c>
      <c r="I241" s="10">
        <f t="shared" si="19"/>
        <v>3546.2070000000003</v>
      </c>
      <c r="J241" s="10">
        <f t="shared" si="17"/>
        <v>3546.2070000000003</v>
      </c>
      <c r="K241">
        <v>30</v>
      </c>
      <c r="L241">
        <v>0.15</v>
      </c>
      <c r="M241" t="str">
        <f>VLOOKUP(C241,Lookup!B:C,2,0)</f>
        <v>Naskila Casino</v>
      </c>
    </row>
    <row r="242" spans="2:13">
      <c r="B242" s="50">
        <f t="shared" si="20"/>
        <v>45991</v>
      </c>
      <c r="C242" s="6">
        <v>3118229</v>
      </c>
      <c r="D242">
        <v>2644900</v>
      </c>
      <c r="E242" s="3">
        <v>403376.8</v>
      </c>
      <c r="F242" s="3">
        <v>16260.279999999995</v>
      </c>
      <c r="G242" s="3">
        <f t="shared" si="21"/>
        <v>13881.237999999996</v>
      </c>
      <c r="H242" s="10">
        <v>2379.0419999999995</v>
      </c>
      <c r="I242" s="10">
        <f t="shared" si="19"/>
        <v>2379.0419999999995</v>
      </c>
      <c r="J242" s="10">
        <f t="shared" si="17"/>
        <v>2379.0419999999995</v>
      </c>
      <c r="K242">
        <v>30</v>
      </c>
      <c r="L242">
        <v>0.15</v>
      </c>
      <c r="M242" t="str">
        <f>VLOOKUP(C242,Lookup!B:C,2,0)</f>
        <v>Naskila Casino</v>
      </c>
    </row>
    <row r="243" spans="2:13">
      <c r="B243" s="50">
        <f t="shared" si="20"/>
        <v>45991</v>
      </c>
      <c r="C243" s="6">
        <v>3118229</v>
      </c>
      <c r="D243">
        <v>2644901</v>
      </c>
      <c r="E243" s="3">
        <v>511674</v>
      </c>
      <c r="F243" s="3">
        <v>25987.51</v>
      </c>
      <c r="G243" s="3">
        <f t="shared" si="21"/>
        <v>22149.3835</v>
      </c>
      <c r="H243" s="10">
        <v>3838.1264999999999</v>
      </c>
      <c r="I243" s="10">
        <f t="shared" si="19"/>
        <v>3838.1264999999999</v>
      </c>
      <c r="J243" s="10">
        <f t="shared" si="17"/>
        <v>3838.1264999999999</v>
      </c>
      <c r="K243">
        <v>30</v>
      </c>
      <c r="L243">
        <v>0.15</v>
      </c>
      <c r="M243" t="str">
        <f>VLOOKUP(C243,Lookup!B:C,2,0)</f>
        <v>Naskila Casino</v>
      </c>
    </row>
    <row r="244" spans="2:13">
      <c r="B244" s="50">
        <f t="shared" si="20"/>
        <v>45991</v>
      </c>
      <c r="C244" s="6">
        <v>3118229</v>
      </c>
      <c r="D244">
        <v>2644902</v>
      </c>
      <c r="E244" s="3">
        <v>362069.5</v>
      </c>
      <c r="F244" s="3">
        <v>27784.370000000003</v>
      </c>
      <c r="G244" s="3">
        <f t="shared" si="21"/>
        <v>23676.714500000002</v>
      </c>
      <c r="H244" s="10">
        <v>4107.6555000000008</v>
      </c>
      <c r="I244" s="10">
        <f t="shared" si="19"/>
        <v>4107.6555000000008</v>
      </c>
      <c r="J244" s="10">
        <f t="shared" si="17"/>
        <v>4107.6555000000008</v>
      </c>
      <c r="K244">
        <v>30</v>
      </c>
      <c r="L244">
        <v>0.15</v>
      </c>
      <c r="M244" t="str">
        <f>VLOOKUP(C244,Lookup!B:C,2,0)</f>
        <v>Naskila Casino</v>
      </c>
    </row>
    <row r="245" spans="2:13">
      <c r="B245" s="50">
        <f t="shared" si="20"/>
        <v>45991</v>
      </c>
      <c r="C245" s="6">
        <v>3118229</v>
      </c>
      <c r="D245">
        <v>2644903</v>
      </c>
      <c r="E245" s="3">
        <v>337131.75</v>
      </c>
      <c r="F245" s="3">
        <v>21748.510000000002</v>
      </c>
      <c r="G245" s="3">
        <f t="shared" si="21"/>
        <v>18546.233500000002</v>
      </c>
      <c r="H245" s="10">
        <v>3202.2765000000009</v>
      </c>
      <c r="I245" s="10">
        <f t="shared" si="19"/>
        <v>3202.2765000000009</v>
      </c>
      <c r="J245" s="10">
        <f t="shared" si="17"/>
        <v>3202.2765000000009</v>
      </c>
      <c r="K245">
        <v>30</v>
      </c>
      <c r="L245">
        <v>0.15</v>
      </c>
      <c r="M245" t="str">
        <f>VLOOKUP(C245,Lookup!B:C,2,0)</f>
        <v>Naskila Casino</v>
      </c>
    </row>
    <row r="246" spans="2:13">
      <c r="B246" s="50">
        <f t="shared" si="20"/>
        <v>45991</v>
      </c>
      <c r="C246" s="6">
        <v>3118229</v>
      </c>
      <c r="D246">
        <v>2644904</v>
      </c>
      <c r="E246" s="3">
        <v>355411.5</v>
      </c>
      <c r="F246" s="3">
        <v>30261.679999999997</v>
      </c>
      <c r="G246" s="3">
        <f t="shared" si="21"/>
        <v>25782.427999999996</v>
      </c>
      <c r="H246" s="10">
        <v>4479.2519999999995</v>
      </c>
      <c r="I246" s="10">
        <f t="shared" si="19"/>
        <v>4479.2519999999995</v>
      </c>
      <c r="J246" s="10">
        <f t="shared" si="17"/>
        <v>4479.2519999999995</v>
      </c>
      <c r="K246">
        <v>30</v>
      </c>
      <c r="L246">
        <v>0.15</v>
      </c>
      <c r="M246" t="str">
        <f>VLOOKUP(C246,Lookup!B:C,2,0)</f>
        <v>Naskila Casino</v>
      </c>
    </row>
    <row r="247" spans="2:13">
      <c r="B247" s="50">
        <f t="shared" si="20"/>
        <v>45991</v>
      </c>
      <c r="C247" s="6">
        <v>3118229</v>
      </c>
      <c r="D247">
        <v>2644905</v>
      </c>
      <c r="E247" s="3">
        <v>394565.72</v>
      </c>
      <c r="F247" s="3">
        <v>19420.04</v>
      </c>
      <c r="G247" s="3">
        <f t="shared" si="21"/>
        <v>16567.034</v>
      </c>
      <c r="H247" s="10">
        <v>2853.0059999999999</v>
      </c>
      <c r="I247" s="10">
        <f t="shared" si="19"/>
        <v>2853.0059999999999</v>
      </c>
      <c r="J247" s="10">
        <f t="shared" si="17"/>
        <v>2853.0059999999999</v>
      </c>
      <c r="K247">
        <v>30</v>
      </c>
      <c r="L247">
        <v>0.15</v>
      </c>
      <c r="M247" t="str">
        <f>VLOOKUP(C247,Lookup!B:C,2,0)</f>
        <v>Naskila Casino</v>
      </c>
    </row>
    <row r="248" spans="2:13">
      <c r="B248" s="50">
        <f t="shared" si="20"/>
        <v>45991</v>
      </c>
      <c r="C248" s="6">
        <v>3118229</v>
      </c>
      <c r="D248">
        <v>2644906</v>
      </c>
      <c r="E248" s="3">
        <v>376855.28</v>
      </c>
      <c r="F248" s="3">
        <v>24015.120000000006</v>
      </c>
      <c r="G248" s="3">
        <f t="shared" si="21"/>
        <v>20472.852000000006</v>
      </c>
      <c r="H248" s="10">
        <v>3542.2680000000009</v>
      </c>
      <c r="I248" s="10">
        <f t="shared" si="19"/>
        <v>3542.2680000000009</v>
      </c>
      <c r="J248" s="10">
        <f t="shared" si="17"/>
        <v>3542.2680000000009</v>
      </c>
      <c r="K248">
        <v>30</v>
      </c>
      <c r="L248">
        <v>0.15</v>
      </c>
      <c r="M248" t="str">
        <f>VLOOKUP(C248,Lookup!B:C,2,0)</f>
        <v>Naskila Casino</v>
      </c>
    </row>
    <row r="249" spans="2:13">
      <c r="B249" s="50">
        <f t="shared" si="20"/>
        <v>45991</v>
      </c>
      <c r="C249" s="6">
        <v>3118229</v>
      </c>
      <c r="D249">
        <v>2644907</v>
      </c>
      <c r="E249" s="3">
        <v>473061.68</v>
      </c>
      <c r="F249" s="3">
        <v>44913.219999999987</v>
      </c>
      <c r="G249" s="3">
        <f t="shared" si="21"/>
        <v>38236.236999999986</v>
      </c>
      <c r="H249" s="10">
        <v>6676.9829999999993</v>
      </c>
      <c r="I249" s="10">
        <f t="shared" si="19"/>
        <v>6676.9829999999993</v>
      </c>
      <c r="J249" s="10">
        <f t="shared" si="17"/>
        <v>6676.9829999999993</v>
      </c>
      <c r="K249">
        <v>30</v>
      </c>
      <c r="L249">
        <v>0.15</v>
      </c>
      <c r="M249" t="str">
        <f>VLOOKUP(C249,Lookup!B:C,2,0)</f>
        <v>Naskila Casino</v>
      </c>
    </row>
    <row r="250" spans="2:13">
      <c r="B250" s="50">
        <f t="shared" si="20"/>
        <v>45991</v>
      </c>
      <c r="C250" s="6">
        <v>3118229</v>
      </c>
      <c r="D250">
        <v>2644908</v>
      </c>
      <c r="E250" s="3">
        <v>460879.25</v>
      </c>
      <c r="F250" s="3">
        <v>28355.300000000003</v>
      </c>
      <c r="G250" s="3">
        <f t="shared" si="21"/>
        <v>24162.005000000005</v>
      </c>
      <c r="H250" s="10">
        <v>4193.2950000000001</v>
      </c>
      <c r="I250" s="10">
        <f t="shared" si="19"/>
        <v>4193.2950000000001</v>
      </c>
      <c r="J250" s="10">
        <f t="shared" si="17"/>
        <v>4193.2950000000001</v>
      </c>
      <c r="K250">
        <v>30</v>
      </c>
      <c r="L250">
        <v>0.15</v>
      </c>
      <c r="M250" t="str">
        <f>VLOOKUP(C250,Lookup!B:C,2,0)</f>
        <v>Naskila Casino</v>
      </c>
    </row>
    <row r="251" spans="2:13">
      <c r="B251" s="50">
        <f t="shared" si="20"/>
        <v>45991</v>
      </c>
      <c r="C251" s="6">
        <v>3118229</v>
      </c>
      <c r="D251">
        <v>2644909</v>
      </c>
      <c r="E251" s="3">
        <v>450569.25</v>
      </c>
      <c r="F251" s="3">
        <v>18025.079999999998</v>
      </c>
      <c r="G251" s="3">
        <f t="shared" si="21"/>
        <v>15381.317999999999</v>
      </c>
      <c r="H251" s="10">
        <v>2643.7619999999997</v>
      </c>
      <c r="I251" s="10">
        <f t="shared" si="19"/>
        <v>2643.7619999999997</v>
      </c>
      <c r="J251" s="10">
        <f t="shared" si="17"/>
        <v>2643.7619999999997</v>
      </c>
      <c r="K251">
        <v>30</v>
      </c>
      <c r="L251">
        <v>0.15</v>
      </c>
      <c r="M251" t="str">
        <f>VLOOKUP(C251,Lookup!B:C,2,0)</f>
        <v>Naskila Casino</v>
      </c>
    </row>
    <row r="252" spans="2:13">
      <c r="B252" s="50">
        <f t="shared" si="20"/>
        <v>45991</v>
      </c>
      <c r="C252" s="6">
        <v>3118229</v>
      </c>
      <c r="D252">
        <v>2644910</v>
      </c>
      <c r="E252" s="3">
        <v>460737.18</v>
      </c>
      <c r="F252" s="3">
        <v>25861.729999999996</v>
      </c>
      <c r="G252" s="3">
        <f t="shared" si="21"/>
        <v>22042.470499999996</v>
      </c>
      <c r="H252" s="10">
        <v>3819.2595000000006</v>
      </c>
      <c r="I252" s="10">
        <f t="shared" si="19"/>
        <v>3819.2595000000006</v>
      </c>
      <c r="J252" s="10">
        <f t="shared" si="17"/>
        <v>3819.2595000000006</v>
      </c>
      <c r="K252">
        <v>30</v>
      </c>
      <c r="L252">
        <v>0.15</v>
      </c>
      <c r="M252" t="str">
        <f>VLOOKUP(C252,Lookup!B:C,2,0)</f>
        <v>Naskila Casino</v>
      </c>
    </row>
    <row r="253" spans="2:13">
      <c r="B253" s="50">
        <f t="shared" si="20"/>
        <v>45991</v>
      </c>
      <c r="C253" s="6">
        <v>3118229</v>
      </c>
      <c r="D253">
        <v>2644911</v>
      </c>
      <c r="E253" s="3">
        <v>472362.7</v>
      </c>
      <c r="F253" s="3">
        <v>34994.699999999997</v>
      </c>
      <c r="G253" s="3">
        <f t="shared" si="21"/>
        <v>29805.494999999995</v>
      </c>
      <c r="H253" s="10">
        <v>5189.2049999999999</v>
      </c>
      <c r="I253" s="10">
        <f t="shared" si="19"/>
        <v>5189.2049999999999</v>
      </c>
      <c r="J253" s="10">
        <f t="shared" si="17"/>
        <v>5189.2049999999999</v>
      </c>
      <c r="K253">
        <v>30</v>
      </c>
      <c r="L253">
        <v>0.15</v>
      </c>
      <c r="M253" t="str">
        <f>VLOOKUP(C253,Lookup!B:C,2,0)</f>
        <v>Naskila Casino</v>
      </c>
    </row>
    <row r="254" spans="2:13">
      <c r="B254" s="50">
        <f t="shared" si="20"/>
        <v>45991</v>
      </c>
      <c r="C254" s="6">
        <v>3118229</v>
      </c>
      <c r="D254">
        <v>2644912</v>
      </c>
      <c r="E254" s="3">
        <v>542123.46</v>
      </c>
      <c r="F254" s="3">
        <v>39212.329999999994</v>
      </c>
      <c r="G254" s="3">
        <f t="shared" si="21"/>
        <v>33390.480499999991</v>
      </c>
      <c r="H254" s="10">
        <v>5821.8495000000012</v>
      </c>
      <c r="I254" s="10">
        <f t="shared" si="19"/>
        <v>5821.8495000000012</v>
      </c>
      <c r="J254" s="10">
        <f t="shared" si="17"/>
        <v>5821.8495000000012</v>
      </c>
      <c r="K254">
        <v>30</v>
      </c>
      <c r="L254">
        <v>0.15</v>
      </c>
      <c r="M254" t="str">
        <f>VLOOKUP(C254,Lookup!B:C,2,0)</f>
        <v>Naskila Casino</v>
      </c>
    </row>
    <row r="255" spans="2:13">
      <c r="B255" s="50">
        <f t="shared" si="20"/>
        <v>45991</v>
      </c>
      <c r="C255" s="6">
        <v>3118229</v>
      </c>
      <c r="D255">
        <v>2644913</v>
      </c>
      <c r="E255" s="3">
        <v>326510</v>
      </c>
      <c r="F255" s="3">
        <v>18755.849999999999</v>
      </c>
      <c r="G255" s="3">
        <f t="shared" si="21"/>
        <v>16002.472499999998</v>
      </c>
      <c r="H255" s="10">
        <v>2753.3775000000001</v>
      </c>
      <c r="I255" s="10">
        <f t="shared" si="19"/>
        <v>2753.3775000000001</v>
      </c>
      <c r="J255" s="10">
        <f t="shared" si="17"/>
        <v>2753.3775000000001</v>
      </c>
      <c r="K255">
        <v>30</v>
      </c>
      <c r="L255">
        <v>0.15</v>
      </c>
      <c r="M255" t="str">
        <f>VLOOKUP(C255,Lookup!B:C,2,0)</f>
        <v>Naskila Casino</v>
      </c>
    </row>
    <row r="256" spans="2:13">
      <c r="B256" s="50">
        <f t="shared" si="20"/>
        <v>45991</v>
      </c>
      <c r="C256" s="6">
        <v>3105246</v>
      </c>
      <c r="D256">
        <v>2631380</v>
      </c>
      <c r="E256" s="3">
        <v>89240.8</v>
      </c>
      <c r="F256" s="3">
        <v>7835.9400000000023</v>
      </c>
      <c r="G256" s="3">
        <f t="shared" si="21"/>
        <v>7052.3500000000022</v>
      </c>
      <c r="H256" s="10">
        <v>783.59</v>
      </c>
      <c r="I256" s="10">
        <f t="shared" si="19"/>
        <v>783.59</v>
      </c>
      <c r="J256" s="10">
        <f t="shared" si="17"/>
        <v>783.59</v>
      </c>
      <c r="K256">
        <v>30</v>
      </c>
      <c r="L256">
        <v>0.1</v>
      </c>
      <c r="M256" t="str">
        <f>VLOOKUP(C256,Lookup!B:C,2,0)</f>
        <v>Newcastle Gaming Center (Northern)</v>
      </c>
    </row>
    <row r="257" spans="2:13">
      <c r="B257" s="50">
        <f t="shared" ref="B257:B304" si="22">B256</f>
        <v>45991</v>
      </c>
      <c r="C257" s="6">
        <v>3105246</v>
      </c>
      <c r="D257">
        <v>2631382</v>
      </c>
      <c r="E257" s="3">
        <v>57698.599999999991</v>
      </c>
      <c r="F257" s="3">
        <v>1422.5800000000017</v>
      </c>
      <c r="G257" s="3">
        <f t="shared" si="21"/>
        <v>1280.3200000000018</v>
      </c>
      <c r="H257" s="10">
        <v>142.26</v>
      </c>
      <c r="I257" s="10">
        <f t="shared" si="19"/>
        <v>142.26</v>
      </c>
      <c r="J257" s="10">
        <f t="shared" si="17"/>
        <v>142.26</v>
      </c>
      <c r="K257">
        <v>30</v>
      </c>
      <c r="L257">
        <v>0.1</v>
      </c>
      <c r="M257" t="str">
        <f>VLOOKUP(C257,Lookup!B:C,2,0)</f>
        <v>Newcastle Gaming Center (Northern)</v>
      </c>
    </row>
    <row r="258" spans="2:13">
      <c r="B258" s="50">
        <f t="shared" si="22"/>
        <v>45991</v>
      </c>
      <c r="C258" s="6">
        <v>3105246</v>
      </c>
      <c r="D258">
        <v>2631381</v>
      </c>
      <c r="E258" s="3">
        <v>69041.2</v>
      </c>
      <c r="F258" s="3">
        <v>388.55999999999767</v>
      </c>
      <c r="G258" s="3">
        <f t="shared" si="21"/>
        <v>349.69999999999766</v>
      </c>
      <c r="H258" s="10">
        <v>38.86</v>
      </c>
      <c r="I258" s="10">
        <f t="shared" si="19"/>
        <v>38.86</v>
      </c>
      <c r="J258" s="10">
        <f t="shared" ref="J258:J321" si="23">I258</f>
        <v>38.86</v>
      </c>
      <c r="K258">
        <v>30</v>
      </c>
      <c r="L258">
        <v>0.1</v>
      </c>
      <c r="M258" t="str">
        <f>VLOOKUP(C258,Lookup!B:C,2,0)</f>
        <v>Newcastle Gaming Center (Northern)</v>
      </c>
    </row>
    <row r="259" spans="2:13">
      <c r="B259" s="50">
        <f t="shared" si="22"/>
        <v>45991</v>
      </c>
      <c r="C259" s="6">
        <v>3105246</v>
      </c>
      <c r="D259">
        <v>2631383</v>
      </c>
      <c r="E259" s="3">
        <v>97816</v>
      </c>
      <c r="F259" s="3">
        <v>6885.8800000000047</v>
      </c>
      <c r="G259" s="3">
        <f t="shared" si="21"/>
        <v>6197.2900000000045</v>
      </c>
      <c r="H259" s="10">
        <v>688.59</v>
      </c>
      <c r="I259" s="10">
        <f t="shared" si="19"/>
        <v>688.59</v>
      </c>
      <c r="J259" s="10">
        <f t="shared" si="23"/>
        <v>688.59</v>
      </c>
      <c r="K259">
        <v>30</v>
      </c>
      <c r="L259">
        <v>0.1</v>
      </c>
      <c r="M259" t="str">
        <f>VLOOKUP(C259,Lookup!B:C,2,0)</f>
        <v>Newcastle Gaming Center (Northern)</v>
      </c>
    </row>
    <row r="260" spans="2:13">
      <c r="B260" s="50">
        <f t="shared" si="22"/>
        <v>45991</v>
      </c>
      <c r="C260" s="6">
        <v>3105246</v>
      </c>
      <c r="D260">
        <v>2655638</v>
      </c>
      <c r="E260" s="3">
        <v>99323.800000000017</v>
      </c>
      <c r="F260" s="3">
        <v>6894.2299999999959</v>
      </c>
      <c r="G260" s="3">
        <f t="shared" si="21"/>
        <v>6204.8099999999959</v>
      </c>
      <c r="H260" s="10">
        <v>689.42</v>
      </c>
      <c r="I260" s="10">
        <f t="shared" ref="I260:I323" si="24">H260</f>
        <v>689.42</v>
      </c>
      <c r="J260" s="10">
        <f t="shared" si="23"/>
        <v>689.42</v>
      </c>
      <c r="K260">
        <v>30</v>
      </c>
      <c r="L260">
        <v>0.1</v>
      </c>
      <c r="M260" t="str">
        <f>VLOOKUP(C260,Lookup!B:C,2,0)</f>
        <v>Newcastle Gaming Center (Northern)</v>
      </c>
    </row>
    <row r="261" spans="2:13">
      <c r="B261" s="50">
        <f t="shared" si="22"/>
        <v>45991</v>
      </c>
      <c r="C261" s="6">
        <v>3105246</v>
      </c>
      <c r="D261">
        <v>2655639</v>
      </c>
      <c r="E261" s="3">
        <v>88540.799999999988</v>
      </c>
      <c r="F261" s="3">
        <v>3315.9100000000035</v>
      </c>
      <c r="G261" s="3">
        <f t="shared" si="21"/>
        <v>2984.3200000000033</v>
      </c>
      <c r="H261" s="10">
        <v>331.59</v>
      </c>
      <c r="I261" s="10">
        <f t="shared" si="24"/>
        <v>331.59</v>
      </c>
      <c r="J261" s="10">
        <f t="shared" si="23"/>
        <v>331.59</v>
      </c>
      <c r="K261">
        <v>30</v>
      </c>
      <c r="L261">
        <v>0.1</v>
      </c>
      <c r="M261" t="str">
        <f>VLOOKUP(C261,Lookup!B:C,2,0)</f>
        <v>Newcastle Gaming Center (Northern)</v>
      </c>
    </row>
    <row r="262" spans="2:13">
      <c r="B262" s="50">
        <f t="shared" si="22"/>
        <v>45991</v>
      </c>
      <c r="C262">
        <v>3116128</v>
      </c>
      <c r="D262">
        <v>2633795</v>
      </c>
      <c r="E262" s="3">
        <v>2386</v>
      </c>
      <c r="F262" s="3">
        <v>2102.6999999999998</v>
      </c>
      <c r="G262" s="3">
        <v>1682.1599999999999</v>
      </c>
      <c r="H262" s="10">
        <v>420.53999999999996</v>
      </c>
      <c r="I262" s="10">
        <f t="shared" si="24"/>
        <v>420.53999999999996</v>
      </c>
      <c r="J262" s="10">
        <f t="shared" si="23"/>
        <v>420.53999999999996</v>
      </c>
      <c r="K262">
        <v>30</v>
      </c>
      <c r="L262">
        <v>0.2</v>
      </c>
      <c r="M262" t="str">
        <f>VLOOKUP(C262,Lookup!B:C,2,0)</f>
        <v>OHIYA Casino Resort</v>
      </c>
    </row>
    <row r="263" spans="2:13">
      <c r="B263" s="50">
        <f t="shared" si="22"/>
        <v>45991</v>
      </c>
      <c r="C263">
        <v>3116128</v>
      </c>
      <c r="D263">
        <v>2633794</v>
      </c>
      <c r="E263" s="3">
        <v>1101</v>
      </c>
      <c r="F263" s="3">
        <v>469.6</v>
      </c>
      <c r="G263" s="3">
        <v>375.68</v>
      </c>
      <c r="H263" s="10">
        <v>93.920000000000016</v>
      </c>
      <c r="I263" s="10">
        <f t="shared" si="24"/>
        <v>93.920000000000016</v>
      </c>
      <c r="J263" s="10">
        <f t="shared" si="23"/>
        <v>93.920000000000016</v>
      </c>
      <c r="K263">
        <v>30</v>
      </c>
      <c r="L263">
        <v>0.2</v>
      </c>
      <c r="M263" t="str">
        <f>VLOOKUP(C263,Lookup!B:C,2,0)</f>
        <v>OHIYA Casino Resort</v>
      </c>
    </row>
    <row r="264" spans="2:13">
      <c r="B264" s="50">
        <f t="shared" si="22"/>
        <v>45991</v>
      </c>
      <c r="C264">
        <v>3116128</v>
      </c>
      <c r="D264">
        <v>2633793</v>
      </c>
      <c r="E264" s="3">
        <v>5432</v>
      </c>
      <c r="F264" s="3">
        <v>934.88000000000011</v>
      </c>
      <c r="G264" s="3">
        <v>747.90400000000011</v>
      </c>
      <c r="H264" s="10">
        <v>186.97600000000003</v>
      </c>
      <c r="I264" s="10">
        <f t="shared" si="24"/>
        <v>186.97600000000003</v>
      </c>
      <c r="J264" s="10">
        <f t="shared" si="23"/>
        <v>186.97600000000003</v>
      </c>
      <c r="K264">
        <v>30</v>
      </c>
      <c r="L264">
        <v>0.2</v>
      </c>
      <c r="M264" t="str">
        <f>VLOOKUP(C264,Lookup!B:C,2,0)</f>
        <v>OHIYA Casino Resort</v>
      </c>
    </row>
    <row r="265" spans="2:13">
      <c r="B265" s="50">
        <f t="shared" si="22"/>
        <v>45991</v>
      </c>
      <c r="C265">
        <v>3116128</v>
      </c>
      <c r="D265">
        <v>2633796</v>
      </c>
      <c r="E265" s="3">
        <v>7533</v>
      </c>
      <c r="F265" s="3">
        <v>1427.52</v>
      </c>
      <c r="G265" s="3">
        <v>1142.0160000000001</v>
      </c>
      <c r="H265" s="10">
        <v>285.50400000000002</v>
      </c>
      <c r="I265" s="10">
        <f t="shared" si="24"/>
        <v>285.50400000000002</v>
      </c>
      <c r="J265" s="10">
        <f t="shared" si="23"/>
        <v>285.50400000000002</v>
      </c>
      <c r="K265">
        <v>30</v>
      </c>
      <c r="L265">
        <v>0.2</v>
      </c>
      <c r="M265" t="str">
        <f>VLOOKUP(C265,Lookup!B:C,2,0)</f>
        <v>OHIYA Casino Resort</v>
      </c>
    </row>
    <row r="266" spans="2:13">
      <c r="B266" s="50">
        <f t="shared" si="22"/>
        <v>45991</v>
      </c>
      <c r="C266">
        <v>3116128</v>
      </c>
      <c r="D266">
        <v>2633798</v>
      </c>
      <c r="E266" s="3">
        <v>1153</v>
      </c>
      <c r="F266" s="3">
        <v>901.59999999999991</v>
      </c>
      <c r="G266" s="3">
        <v>721.28</v>
      </c>
      <c r="H266" s="10">
        <v>180.32</v>
      </c>
      <c r="I266" s="10">
        <f t="shared" si="24"/>
        <v>180.32</v>
      </c>
      <c r="J266" s="10">
        <f t="shared" si="23"/>
        <v>180.32</v>
      </c>
      <c r="K266">
        <v>30</v>
      </c>
      <c r="L266">
        <v>0.2</v>
      </c>
      <c r="M266" t="str">
        <f>VLOOKUP(C266,Lookup!B:C,2,0)</f>
        <v>OHIYA Casino Resort</v>
      </c>
    </row>
    <row r="267" spans="2:13">
      <c r="B267" s="50">
        <f t="shared" si="22"/>
        <v>45991</v>
      </c>
      <c r="C267">
        <v>3116128</v>
      </c>
      <c r="D267">
        <v>2633799</v>
      </c>
      <c r="E267" s="3">
        <v>566</v>
      </c>
      <c r="F267" s="3">
        <v>34.400000000000006</v>
      </c>
      <c r="G267" s="3">
        <v>27.520000000000003</v>
      </c>
      <c r="H267" s="10">
        <v>6.8800000000000017</v>
      </c>
      <c r="I267" s="10">
        <f t="shared" si="24"/>
        <v>6.8800000000000017</v>
      </c>
      <c r="J267" s="10">
        <f t="shared" si="23"/>
        <v>6.8800000000000017</v>
      </c>
      <c r="K267">
        <v>30</v>
      </c>
      <c r="L267">
        <v>0.2</v>
      </c>
      <c r="M267" t="str">
        <f>VLOOKUP(C267,Lookup!B:C,2,0)</f>
        <v>OHIYA Casino Resort</v>
      </c>
    </row>
    <row r="268" spans="2:13">
      <c r="B268" s="50">
        <f t="shared" si="22"/>
        <v>45991</v>
      </c>
      <c r="C268">
        <v>3116128</v>
      </c>
      <c r="D268">
        <v>2633792</v>
      </c>
      <c r="E268" s="3">
        <v>4682</v>
      </c>
      <c r="F268" s="3">
        <v>948.92000000000007</v>
      </c>
      <c r="G268" s="3">
        <v>759.13600000000008</v>
      </c>
      <c r="H268" s="10">
        <v>189.78400000000002</v>
      </c>
      <c r="I268" s="10">
        <f t="shared" si="24"/>
        <v>189.78400000000002</v>
      </c>
      <c r="J268" s="10">
        <f t="shared" si="23"/>
        <v>189.78400000000002</v>
      </c>
      <c r="K268">
        <v>30</v>
      </c>
      <c r="L268">
        <v>0.2</v>
      </c>
      <c r="M268" t="str">
        <f>VLOOKUP(C268,Lookup!B:C,2,0)</f>
        <v>OHIYA Casino Resort</v>
      </c>
    </row>
    <row r="269" spans="2:13">
      <c r="B269" s="50">
        <f t="shared" si="22"/>
        <v>45991</v>
      </c>
      <c r="C269">
        <v>3116128</v>
      </c>
      <c r="D269">
        <v>2633797</v>
      </c>
      <c r="E269" s="3">
        <v>5555</v>
      </c>
      <c r="F269" s="3">
        <v>739.31</v>
      </c>
      <c r="G269" s="3">
        <v>591.44799999999998</v>
      </c>
      <c r="H269" s="10">
        <v>147.86199999999999</v>
      </c>
      <c r="I269" s="10">
        <f t="shared" si="24"/>
        <v>147.86199999999999</v>
      </c>
      <c r="J269" s="10">
        <f t="shared" si="23"/>
        <v>147.86199999999999</v>
      </c>
      <c r="K269">
        <v>30</v>
      </c>
      <c r="L269">
        <v>0.2</v>
      </c>
      <c r="M269" t="str">
        <f>VLOOKUP(C269,Lookup!B:C,2,0)</f>
        <v>OHIYA Casino Resort</v>
      </c>
    </row>
    <row r="270" spans="2:13">
      <c r="B270" s="50">
        <f t="shared" si="22"/>
        <v>45991</v>
      </c>
      <c r="C270">
        <v>3116128</v>
      </c>
      <c r="D270">
        <v>2633218</v>
      </c>
      <c r="E270" s="3">
        <v>21661</v>
      </c>
      <c r="F270" s="3">
        <v>1250.0999999999999</v>
      </c>
      <c r="G270" s="3">
        <v>1000.0799999999999</v>
      </c>
      <c r="H270" s="10">
        <v>250.01999999999998</v>
      </c>
      <c r="I270" s="10">
        <f t="shared" si="24"/>
        <v>250.01999999999998</v>
      </c>
      <c r="J270" s="10">
        <f t="shared" si="23"/>
        <v>250.01999999999998</v>
      </c>
      <c r="K270">
        <v>30</v>
      </c>
      <c r="L270">
        <v>0.2</v>
      </c>
      <c r="M270" t="str">
        <f>VLOOKUP(C270,Lookup!B:C,2,0)</f>
        <v>OHIYA Casino Resort</v>
      </c>
    </row>
    <row r="271" spans="2:13">
      <c r="B271" s="50">
        <f t="shared" si="22"/>
        <v>45991</v>
      </c>
      <c r="C271">
        <v>3116128</v>
      </c>
      <c r="D271">
        <v>2633219</v>
      </c>
      <c r="E271" s="3">
        <v>6554</v>
      </c>
      <c r="F271" s="3">
        <v>2732.89</v>
      </c>
      <c r="G271" s="3">
        <v>2186.3119999999999</v>
      </c>
      <c r="H271" s="10">
        <v>546.57799999999997</v>
      </c>
      <c r="I271" s="10">
        <f t="shared" si="24"/>
        <v>546.57799999999997</v>
      </c>
      <c r="J271" s="10">
        <f t="shared" si="23"/>
        <v>546.57799999999997</v>
      </c>
      <c r="K271">
        <v>30</v>
      </c>
      <c r="L271">
        <v>0.2</v>
      </c>
      <c r="M271" t="str">
        <f>VLOOKUP(C271,Lookup!B:C,2,0)</f>
        <v>OHIYA Casino Resort</v>
      </c>
    </row>
    <row r="272" spans="2:13">
      <c r="B272" s="50">
        <f t="shared" si="22"/>
        <v>45991</v>
      </c>
      <c r="C272">
        <v>3116128</v>
      </c>
      <c r="D272">
        <v>2633220</v>
      </c>
      <c r="E272" s="3">
        <v>8505</v>
      </c>
      <c r="F272" s="3">
        <v>1755.8</v>
      </c>
      <c r="G272" s="3">
        <v>1404.6399999999999</v>
      </c>
      <c r="H272" s="10">
        <v>351.16</v>
      </c>
      <c r="I272" s="10">
        <f t="shared" si="24"/>
        <v>351.16</v>
      </c>
      <c r="J272" s="10">
        <f t="shared" si="23"/>
        <v>351.16</v>
      </c>
      <c r="K272">
        <v>30</v>
      </c>
      <c r="L272">
        <v>0.2</v>
      </c>
      <c r="M272" t="str">
        <f>VLOOKUP(C272,Lookup!B:C,2,0)</f>
        <v>OHIYA Casino Resort</v>
      </c>
    </row>
    <row r="273" spans="2:13">
      <c r="B273" s="50">
        <f t="shared" si="22"/>
        <v>45991</v>
      </c>
      <c r="C273">
        <v>3116128</v>
      </c>
      <c r="D273">
        <v>2633221</v>
      </c>
      <c r="E273" s="3">
        <v>6404</v>
      </c>
      <c r="F273" s="3">
        <v>3796.9</v>
      </c>
      <c r="G273" s="3">
        <v>3037.52</v>
      </c>
      <c r="H273" s="10">
        <v>759.38000000000011</v>
      </c>
      <c r="I273" s="10">
        <f t="shared" si="24"/>
        <v>759.38000000000011</v>
      </c>
      <c r="J273" s="10">
        <f t="shared" si="23"/>
        <v>759.38000000000011</v>
      </c>
      <c r="K273">
        <v>30</v>
      </c>
      <c r="L273">
        <v>0.2</v>
      </c>
      <c r="M273" t="str">
        <f>VLOOKUP(C273,Lookup!B:C,2,0)</f>
        <v>OHIYA Casino Resort</v>
      </c>
    </row>
    <row r="274" spans="2:13">
      <c r="B274" s="50">
        <f t="shared" si="22"/>
        <v>45991</v>
      </c>
      <c r="C274">
        <v>3116128</v>
      </c>
      <c r="D274">
        <v>2633225</v>
      </c>
      <c r="E274" s="3">
        <v>9510</v>
      </c>
      <c r="F274" s="3">
        <v>4200.2</v>
      </c>
      <c r="G274" s="3">
        <v>3360.16</v>
      </c>
      <c r="H274" s="10">
        <v>840.04</v>
      </c>
      <c r="I274" s="10">
        <f t="shared" si="24"/>
        <v>840.04</v>
      </c>
      <c r="J274" s="10">
        <f t="shared" si="23"/>
        <v>840.04</v>
      </c>
      <c r="K274">
        <v>30</v>
      </c>
      <c r="L274">
        <v>0.2</v>
      </c>
      <c r="M274" t="str">
        <f>VLOOKUP(C274,Lookup!B:C,2,0)</f>
        <v>OHIYA Casino Resort</v>
      </c>
    </row>
    <row r="275" spans="2:13">
      <c r="B275" s="50">
        <f t="shared" si="22"/>
        <v>45991</v>
      </c>
      <c r="C275">
        <v>3116128</v>
      </c>
      <c r="D275">
        <v>2633226</v>
      </c>
      <c r="E275" s="3">
        <v>22414</v>
      </c>
      <c r="F275" s="3">
        <v>9433.82</v>
      </c>
      <c r="G275" s="3">
        <v>7547.0559999999996</v>
      </c>
      <c r="H275" s="10">
        <v>1886.7640000000001</v>
      </c>
      <c r="I275" s="10">
        <f t="shared" si="24"/>
        <v>1886.7640000000001</v>
      </c>
      <c r="J275" s="10">
        <f t="shared" si="23"/>
        <v>1886.7640000000001</v>
      </c>
      <c r="K275">
        <v>30</v>
      </c>
      <c r="L275">
        <v>0.2</v>
      </c>
      <c r="M275" t="str">
        <f>VLOOKUP(C275,Lookup!B:C,2,0)</f>
        <v>OHIYA Casino Resort</v>
      </c>
    </row>
    <row r="276" spans="2:13">
      <c r="B276" s="50">
        <f t="shared" si="22"/>
        <v>45991</v>
      </c>
      <c r="C276">
        <v>3116128</v>
      </c>
      <c r="D276">
        <v>2633227</v>
      </c>
      <c r="E276" s="3">
        <v>10375</v>
      </c>
      <c r="F276" s="3">
        <v>1813.7800000000002</v>
      </c>
      <c r="G276" s="3">
        <v>1451.0240000000001</v>
      </c>
      <c r="H276" s="10">
        <v>362.75600000000009</v>
      </c>
      <c r="I276" s="10">
        <f t="shared" si="24"/>
        <v>362.75600000000009</v>
      </c>
      <c r="J276" s="10">
        <f t="shared" si="23"/>
        <v>362.75600000000009</v>
      </c>
      <c r="K276">
        <v>30</v>
      </c>
      <c r="L276">
        <v>0.2</v>
      </c>
      <c r="M276" t="str">
        <f>VLOOKUP(C276,Lookup!B:C,2,0)</f>
        <v>OHIYA Casino Resort</v>
      </c>
    </row>
    <row r="277" spans="2:13">
      <c r="B277" s="50">
        <f t="shared" si="22"/>
        <v>45991</v>
      </c>
      <c r="C277">
        <v>3116128</v>
      </c>
      <c r="D277">
        <v>2633228</v>
      </c>
      <c r="E277" s="3">
        <v>19501</v>
      </c>
      <c r="F277" s="3">
        <v>4947.8500000000004</v>
      </c>
      <c r="G277" s="3">
        <v>3958.28</v>
      </c>
      <c r="H277" s="10">
        <v>989.57000000000016</v>
      </c>
      <c r="I277" s="10">
        <f t="shared" si="24"/>
        <v>989.57000000000016</v>
      </c>
      <c r="J277" s="10">
        <f t="shared" si="23"/>
        <v>989.57000000000016</v>
      </c>
      <c r="K277">
        <v>30</v>
      </c>
      <c r="L277">
        <v>0.2</v>
      </c>
      <c r="M277" t="str">
        <f>VLOOKUP(C277,Lookup!B:C,2,0)</f>
        <v>OHIYA Casino Resort</v>
      </c>
    </row>
    <row r="278" spans="2:13">
      <c r="B278" s="50">
        <f t="shared" si="22"/>
        <v>45991</v>
      </c>
      <c r="C278">
        <v>3116128</v>
      </c>
      <c r="D278">
        <v>2603164</v>
      </c>
      <c r="E278" s="3">
        <v>2974</v>
      </c>
      <c r="F278" s="3">
        <v>676</v>
      </c>
      <c r="G278" s="3">
        <v>540.79999999999995</v>
      </c>
      <c r="H278" s="10">
        <v>135.20000000000002</v>
      </c>
      <c r="I278" s="10">
        <f t="shared" si="24"/>
        <v>135.20000000000002</v>
      </c>
      <c r="J278" s="10">
        <f t="shared" si="23"/>
        <v>135.20000000000002</v>
      </c>
      <c r="K278">
        <v>30</v>
      </c>
      <c r="L278">
        <v>0.2</v>
      </c>
      <c r="M278" t="str">
        <f>VLOOKUP(C278,Lookup!B:C,2,0)</f>
        <v>OHIYA Casino Resort</v>
      </c>
    </row>
    <row r="279" spans="2:13">
      <c r="B279" s="50">
        <f t="shared" si="22"/>
        <v>45991</v>
      </c>
      <c r="C279">
        <v>3116128</v>
      </c>
      <c r="D279">
        <v>2603165</v>
      </c>
      <c r="E279" s="3">
        <v>1643</v>
      </c>
      <c r="F279" s="3">
        <v>865.2</v>
      </c>
      <c r="G279" s="3">
        <v>692.16000000000008</v>
      </c>
      <c r="H279" s="10">
        <v>173.04000000000002</v>
      </c>
      <c r="I279" s="10">
        <f t="shared" si="24"/>
        <v>173.04000000000002</v>
      </c>
      <c r="J279" s="10">
        <f t="shared" si="23"/>
        <v>173.04000000000002</v>
      </c>
      <c r="K279">
        <v>30</v>
      </c>
      <c r="L279">
        <v>0.2</v>
      </c>
      <c r="M279" t="str">
        <f>VLOOKUP(C279,Lookup!B:C,2,0)</f>
        <v>OHIYA Casino Resort</v>
      </c>
    </row>
    <row r="280" spans="2:13">
      <c r="B280" s="50">
        <f t="shared" si="22"/>
        <v>45991</v>
      </c>
      <c r="C280">
        <v>3116128</v>
      </c>
      <c r="D280">
        <v>2603166</v>
      </c>
      <c r="E280" s="3">
        <v>5960</v>
      </c>
      <c r="F280" s="3">
        <v>2990.35</v>
      </c>
      <c r="G280" s="3">
        <v>2392.2799999999997</v>
      </c>
      <c r="H280" s="10">
        <v>598.07000000000005</v>
      </c>
      <c r="I280" s="10">
        <f t="shared" si="24"/>
        <v>598.07000000000005</v>
      </c>
      <c r="J280" s="10">
        <f t="shared" si="23"/>
        <v>598.07000000000005</v>
      </c>
      <c r="K280">
        <v>30</v>
      </c>
      <c r="L280">
        <v>0.2</v>
      </c>
      <c r="M280" t="str">
        <f>VLOOKUP(C280,Lookup!B:C,2,0)</f>
        <v>OHIYA Casino Resort</v>
      </c>
    </row>
    <row r="281" spans="2:13">
      <c r="B281" s="50">
        <f t="shared" si="22"/>
        <v>45991</v>
      </c>
      <c r="C281">
        <v>3116128</v>
      </c>
      <c r="D281">
        <v>2603167</v>
      </c>
      <c r="E281" s="3">
        <v>5253</v>
      </c>
      <c r="F281" s="3">
        <v>2867.95</v>
      </c>
      <c r="G281" s="3">
        <v>2294.3599999999997</v>
      </c>
      <c r="H281" s="10">
        <v>573.59</v>
      </c>
      <c r="I281" s="10">
        <f t="shared" si="24"/>
        <v>573.59</v>
      </c>
      <c r="J281" s="10">
        <f t="shared" si="23"/>
        <v>573.59</v>
      </c>
      <c r="K281">
        <v>30</v>
      </c>
      <c r="L281">
        <v>0.2</v>
      </c>
      <c r="M281" t="str">
        <f>VLOOKUP(C281,Lookup!B:C,2,0)</f>
        <v>OHIYA Casino Resort</v>
      </c>
    </row>
    <row r="282" spans="2:13">
      <c r="B282" s="50">
        <f t="shared" si="22"/>
        <v>45991</v>
      </c>
      <c r="C282">
        <v>3116128</v>
      </c>
      <c r="D282">
        <v>2603168</v>
      </c>
      <c r="E282" s="3">
        <v>2877</v>
      </c>
      <c r="F282" s="3">
        <v>1936.26</v>
      </c>
      <c r="G282" s="3">
        <v>1549.008</v>
      </c>
      <c r="H282" s="10">
        <v>387.25200000000001</v>
      </c>
      <c r="I282" s="10">
        <f t="shared" si="24"/>
        <v>387.25200000000001</v>
      </c>
      <c r="J282" s="10">
        <f t="shared" si="23"/>
        <v>387.25200000000001</v>
      </c>
      <c r="K282">
        <v>30</v>
      </c>
      <c r="L282">
        <v>0.2</v>
      </c>
      <c r="M282" t="str">
        <f>VLOOKUP(C282,Lookup!B:C,2,0)</f>
        <v>OHIYA Casino Resort</v>
      </c>
    </row>
    <row r="283" spans="2:13">
      <c r="B283" s="50">
        <f t="shared" si="22"/>
        <v>45991</v>
      </c>
      <c r="C283">
        <v>3116128</v>
      </c>
      <c r="D283">
        <v>2603169</v>
      </c>
      <c r="E283" s="3">
        <v>5691</v>
      </c>
      <c r="F283" s="3">
        <v>4014.88</v>
      </c>
      <c r="G283" s="3">
        <v>3211.904</v>
      </c>
      <c r="H283" s="10">
        <v>802.97600000000011</v>
      </c>
      <c r="I283" s="10">
        <f t="shared" si="24"/>
        <v>802.97600000000011</v>
      </c>
      <c r="J283" s="10">
        <f t="shared" si="23"/>
        <v>802.97600000000011</v>
      </c>
      <c r="K283">
        <v>30</v>
      </c>
      <c r="L283">
        <v>0.2</v>
      </c>
      <c r="M283" t="str">
        <f>VLOOKUP(C283,Lookup!B:C,2,0)</f>
        <v>OHIYA Casino Resort</v>
      </c>
    </row>
    <row r="284" spans="2:13">
      <c r="B284" s="50">
        <f t="shared" si="22"/>
        <v>45991</v>
      </c>
      <c r="C284">
        <v>3116128</v>
      </c>
      <c r="D284">
        <v>2589463</v>
      </c>
      <c r="E284" s="3">
        <v>5216</v>
      </c>
      <c r="F284" s="3">
        <v>2602.4</v>
      </c>
      <c r="G284" s="3">
        <v>2081.92</v>
      </c>
      <c r="H284" s="10">
        <v>520.48</v>
      </c>
      <c r="I284" s="10">
        <f t="shared" si="24"/>
        <v>520.48</v>
      </c>
      <c r="J284" s="10">
        <f t="shared" si="23"/>
        <v>520.48</v>
      </c>
      <c r="K284">
        <v>30</v>
      </c>
      <c r="L284">
        <v>0.2</v>
      </c>
      <c r="M284" t="str">
        <f>VLOOKUP(C284,Lookup!B:C,2,0)</f>
        <v>OHIYA Casino Resort</v>
      </c>
    </row>
    <row r="285" spans="2:13">
      <c r="B285" s="50">
        <f t="shared" si="22"/>
        <v>45991</v>
      </c>
      <c r="C285">
        <v>3116128</v>
      </c>
      <c r="D285">
        <v>2589465</v>
      </c>
      <c r="E285" s="3">
        <v>2950</v>
      </c>
      <c r="F285" s="3">
        <v>1311.7</v>
      </c>
      <c r="G285" s="3">
        <v>1049.3600000000001</v>
      </c>
      <c r="H285" s="10">
        <v>262.34000000000003</v>
      </c>
      <c r="I285" s="10">
        <f t="shared" si="24"/>
        <v>262.34000000000003</v>
      </c>
      <c r="J285" s="10">
        <f t="shared" si="23"/>
        <v>262.34000000000003</v>
      </c>
      <c r="K285">
        <v>30</v>
      </c>
      <c r="L285">
        <v>0.2</v>
      </c>
      <c r="M285" t="str">
        <f>VLOOKUP(C285,Lookup!B:C,2,0)</f>
        <v>OHIYA Casino Resort</v>
      </c>
    </row>
    <row r="286" spans="2:13">
      <c r="B286" s="50">
        <f t="shared" si="22"/>
        <v>45991</v>
      </c>
      <c r="C286">
        <v>3116128</v>
      </c>
      <c r="D286">
        <v>2602664</v>
      </c>
      <c r="E286" s="3">
        <v>4803</v>
      </c>
      <c r="F286" s="3">
        <v>-1015.86</v>
      </c>
      <c r="G286" s="3">
        <v>0</v>
      </c>
      <c r="H286" s="10">
        <v>0</v>
      </c>
      <c r="I286" s="10">
        <f t="shared" si="24"/>
        <v>0</v>
      </c>
      <c r="J286" s="10">
        <f t="shared" si="23"/>
        <v>0</v>
      </c>
      <c r="K286">
        <v>30</v>
      </c>
      <c r="L286">
        <v>0.2</v>
      </c>
      <c r="M286" t="str">
        <f>VLOOKUP(C286,Lookup!B:C,2,0)</f>
        <v>OHIYA Casino Resort</v>
      </c>
    </row>
    <row r="287" spans="2:13">
      <c r="B287" s="50">
        <f t="shared" si="22"/>
        <v>45991</v>
      </c>
      <c r="C287">
        <v>3116128</v>
      </c>
      <c r="D287">
        <v>2602665</v>
      </c>
      <c r="E287" s="3">
        <v>5592</v>
      </c>
      <c r="F287" s="3">
        <v>47.009999999999991</v>
      </c>
      <c r="G287" s="3">
        <v>37.60799999999999</v>
      </c>
      <c r="H287" s="10">
        <v>9.4019999999999992</v>
      </c>
      <c r="I287" s="10">
        <f t="shared" si="24"/>
        <v>9.4019999999999992</v>
      </c>
      <c r="J287" s="10">
        <f t="shared" si="23"/>
        <v>9.4019999999999992</v>
      </c>
      <c r="K287">
        <v>30</v>
      </c>
      <c r="L287">
        <v>0.2</v>
      </c>
      <c r="M287" t="str">
        <f>VLOOKUP(C287,Lookup!B:C,2,0)</f>
        <v>OHIYA Casino Resort</v>
      </c>
    </row>
    <row r="288" spans="2:13">
      <c r="B288" s="50">
        <f t="shared" si="22"/>
        <v>45991</v>
      </c>
      <c r="C288">
        <v>3116128</v>
      </c>
      <c r="D288">
        <v>2587034</v>
      </c>
      <c r="E288" s="3">
        <v>7350</v>
      </c>
      <c r="F288" s="3">
        <v>2059.5</v>
      </c>
      <c r="G288" s="3">
        <v>1647.6</v>
      </c>
      <c r="H288" s="10">
        <v>411.90000000000003</v>
      </c>
      <c r="I288" s="10">
        <f t="shared" si="24"/>
        <v>411.90000000000003</v>
      </c>
      <c r="J288" s="10">
        <f t="shared" si="23"/>
        <v>411.90000000000003</v>
      </c>
      <c r="K288">
        <v>30</v>
      </c>
      <c r="L288">
        <v>0.2</v>
      </c>
      <c r="M288" t="str">
        <f>VLOOKUP(C288,Lookup!B:C,2,0)</f>
        <v>OHIYA Casino Resort</v>
      </c>
    </row>
    <row r="289" spans="2:13">
      <c r="B289" s="50">
        <f t="shared" si="22"/>
        <v>45991</v>
      </c>
      <c r="C289">
        <v>3116128</v>
      </c>
      <c r="D289">
        <v>2587037</v>
      </c>
      <c r="E289" s="3">
        <v>4425</v>
      </c>
      <c r="F289" s="3">
        <v>-3408.4</v>
      </c>
      <c r="G289" s="3">
        <v>0</v>
      </c>
      <c r="H289" s="10">
        <v>0</v>
      </c>
      <c r="I289" s="10">
        <f t="shared" si="24"/>
        <v>0</v>
      </c>
      <c r="J289" s="10">
        <f t="shared" si="23"/>
        <v>0</v>
      </c>
      <c r="K289">
        <v>30</v>
      </c>
      <c r="L289">
        <v>0.2</v>
      </c>
      <c r="M289" t="str">
        <f>VLOOKUP(C289,Lookup!B:C,2,0)</f>
        <v>OHIYA Casino Resort</v>
      </c>
    </row>
    <row r="290" spans="2:13">
      <c r="B290" s="50">
        <f t="shared" si="22"/>
        <v>45991</v>
      </c>
      <c r="C290">
        <v>3116128</v>
      </c>
      <c r="D290">
        <v>2587101</v>
      </c>
      <c r="E290" s="3">
        <v>6343</v>
      </c>
      <c r="F290" s="3">
        <v>567.91</v>
      </c>
      <c r="G290" s="3">
        <v>454.32799999999997</v>
      </c>
      <c r="H290" s="10">
        <v>113.58199999999999</v>
      </c>
      <c r="I290" s="10">
        <f t="shared" si="24"/>
        <v>113.58199999999999</v>
      </c>
      <c r="J290" s="10">
        <f t="shared" si="23"/>
        <v>113.58199999999999</v>
      </c>
      <c r="K290">
        <v>30</v>
      </c>
      <c r="L290">
        <v>0.2</v>
      </c>
      <c r="M290" t="str">
        <f>VLOOKUP(C290,Lookup!B:C,2,0)</f>
        <v>OHIYA Casino Resort</v>
      </c>
    </row>
    <row r="291" spans="2:13">
      <c r="B291" s="50">
        <f t="shared" si="22"/>
        <v>45991</v>
      </c>
      <c r="C291">
        <v>3116128</v>
      </c>
      <c r="D291">
        <v>2602666</v>
      </c>
      <c r="E291" s="3">
        <v>10728</v>
      </c>
      <c r="F291" s="3">
        <v>3888.75</v>
      </c>
      <c r="G291" s="3">
        <v>3111</v>
      </c>
      <c r="H291" s="10">
        <v>777.75</v>
      </c>
      <c r="I291" s="10">
        <f t="shared" si="24"/>
        <v>777.75</v>
      </c>
      <c r="J291" s="10">
        <f t="shared" si="23"/>
        <v>777.75</v>
      </c>
      <c r="K291">
        <v>30</v>
      </c>
      <c r="L291">
        <v>0.2</v>
      </c>
      <c r="M291" t="str">
        <f>VLOOKUP(C291,Lookup!B:C,2,0)</f>
        <v>OHIYA Casino Resort</v>
      </c>
    </row>
    <row r="292" spans="2:13">
      <c r="B292" s="50">
        <f t="shared" si="22"/>
        <v>45991</v>
      </c>
      <c r="C292">
        <v>3116128</v>
      </c>
      <c r="D292">
        <v>2538518</v>
      </c>
      <c r="E292" s="3">
        <v>7875</v>
      </c>
      <c r="F292" s="3">
        <v>-247.85</v>
      </c>
      <c r="G292" s="3">
        <v>0</v>
      </c>
      <c r="H292" s="10">
        <v>0</v>
      </c>
      <c r="I292" s="10">
        <f t="shared" si="24"/>
        <v>0</v>
      </c>
      <c r="J292" s="10">
        <f t="shared" si="23"/>
        <v>0</v>
      </c>
      <c r="K292">
        <v>30</v>
      </c>
      <c r="L292">
        <v>0.2</v>
      </c>
      <c r="M292" t="str">
        <f>VLOOKUP(C292,Lookup!B:C,2,0)</f>
        <v>OHIYA Casino Resort</v>
      </c>
    </row>
    <row r="293" spans="2:13">
      <c r="B293" s="50">
        <f t="shared" si="22"/>
        <v>45991</v>
      </c>
      <c r="C293">
        <v>3116128</v>
      </c>
      <c r="D293">
        <v>2538519</v>
      </c>
      <c r="E293" s="3">
        <v>8038</v>
      </c>
      <c r="F293" s="3">
        <v>1488.26</v>
      </c>
      <c r="G293" s="3">
        <v>1190.6079999999999</v>
      </c>
      <c r="H293" s="10">
        <v>297.65199999999999</v>
      </c>
      <c r="I293" s="10">
        <f t="shared" si="24"/>
        <v>297.65199999999999</v>
      </c>
      <c r="J293" s="10">
        <f t="shared" si="23"/>
        <v>297.65199999999999</v>
      </c>
      <c r="K293">
        <v>30</v>
      </c>
      <c r="L293">
        <v>0.2</v>
      </c>
      <c r="M293" t="str">
        <f>VLOOKUP(C293,Lookup!B:C,2,0)</f>
        <v>OHIYA Casino Resort</v>
      </c>
    </row>
    <row r="294" spans="2:13">
      <c r="B294" s="50">
        <f t="shared" si="22"/>
        <v>45991</v>
      </c>
      <c r="C294">
        <v>3116128</v>
      </c>
      <c r="D294">
        <v>2538520</v>
      </c>
      <c r="E294" s="3">
        <v>7213</v>
      </c>
      <c r="F294" s="3">
        <v>3664.5</v>
      </c>
      <c r="G294" s="3">
        <v>2931.6</v>
      </c>
      <c r="H294" s="10">
        <v>732.90000000000009</v>
      </c>
      <c r="I294" s="10">
        <f t="shared" si="24"/>
        <v>732.90000000000009</v>
      </c>
      <c r="J294" s="10">
        <f t="shared" si="23"/>
        <v>732.90000000000009</v>
      </c>
      <c r="K294">
        <v>30</v>
      </c>
      <c r="L294">
        <v>0.2</v>
      </c>
      <c r="M294" t="str">
        <f>VLOOKUP(C294,Lookup!B:C,2,0)</f>
        <v>OHIYA Casino Resort</v>
      </c>
    </row>
    <row r="295" spans="2:13">
      <c r="B295" s="50">
        <f t="shared" si="22"/>
        <v>45991</v>
      </c>
      <c r="C295">
        <v>3116128</v>
      </c>
      <c r="D295">
        <v>2538521</v>
      </c>
      <c r="E295" s="3">
        <v>7015</v>
      </c>
      <c r="F295" s="3">
        <v>2396.65</v>
      </c>
      <c r="G295" s="3">
        <v>1917.3200000000002</v>
      </c>
      <c r="H295" s="10">
        <v>479.33000000000004</v>
      </c>
      <c r="I295" s="10">
        <f t="shared" si="24"/>
        <v>479.33000000000004</v>
      </c>
      <c r="J295" s="10">
        <f t="shared" si="23"/>
        <v>479.33000000000004</v>
      </c>
      <c r="K295">
        <v>30</v>
      </c>
      <c r="L295">
        <v>0.2</v>
      </c>
      <c r="M295" t="str">
        <f>VLOOKUP(C295,Lookup!B:C,2,0)</f>
        <v>OHIYA Casino Resort</v>
      </c>
    </row>
    <row r="296" spans="2:13">
      <c r="B296" s="50">
        <f t="shared" si="22"/>
        <v>45991</v>
      </c>
      <c r="C296">
        <v>3116128</v>
      </c>
      <c r="D296">
        <v>2538522</v>
      </c>
      <c r="E296" s="3">
        <v>3431</v>
      </c>
      <c r="F296" s="3">
        <v>-106.00999999999999</v>
      </c>
      <c r="G296" s="3">
        <v>0</v>
      </c>
      <c r="H296" s="10">
        <v>0</v>
      </c>
      <c r="I296" s="10">
        <f t="shared" si="24"/>
        <v>0</v>
      </c>
      <c r="J296" s="10">
        <f t="shared" si="23"/>
        <v>0</v>
      </c>
      <c r="K296">
        <v>30</v>
      </c>
      <c r="L296">
        <v>0.2</v>
      </c>
      <c r="M296" t="str">
        <f>VLOOKUP(C296,Lookup!B:C,2,0)</f>
        <v>OHIYA Casino Resort</v>
      </c>
    </row>
    <row r="297" spans="2:13">
      <c r="B297" s="50">
        <f t="shared" si="22"/>
        <v>45991</v>
      </c>
      <c r="C297">
        <v>3116128</v>
      </c>
      <c r="D297">
        <v>2540133</v>
      </c>
      <c r="E297" s="3">
        <v>2285</v>
      </c>
      <c r="F297" s="3">
        <v>-123.92</v>
      </c>
      <c r="G297" s="3">
        <v>0</v>
      </c>
      <c r="H297" s="10">
        <v>0</v>
      </c>
      <c r="I297" s="10">
        <f t="shared" si="24"/>
        <v>0</v>
      </c>
      <c r="J297" s="10">
        <f t="shared" si="23"/>
        <v>0</v>
      </c>
      <c r="K297">
        <v>30</v>
      </c>
      <c r="L297">
        <v>0.2</v>
      </c>
      <c r="M297" t="str">
        <f>VLOOKUP(C297,Lookup!B:C,2,0)</f>
        <v>OHIYA Casino Resort</v>
      </c>
    </row>
    <row r="298" spans="2:13">
      <c r="B298" s="50">
        <f t="shared" si="22"/>
        <v>45991</v>
      </c>
      <c r="C298">
        <v>3116128</v>
      </c>
      <c r="D298">
        <v>2538517</v>
      </c>
      <c r="E298" s="3">
        <v>9226</v>
      </c>
      <c r="F298" s="3">
        <v>2927.7</v>
      </c>
      <c r="G298" s="3">
        <v>2342.16</v>
      </c>
      <c r="H298" s="10">
        <v>585.54</v>
      </c>
      <c r="I298" s="10">
        <f t="shared" si="24"/>
        <v>585.54</v>
      </c>
      <c r="J298" s="10">
        <f t="shared" si="23"/>
        <v>585.54</v>
      </c>
      <c r="K298">
        <v>30</v>
      </c>
      <c r="L298">
        <v>0.2</v>
      </c>
      <c r="M298" t="str">
        <f>VLOOKUP(C298,Lookup!B:C,2,0)</f>
        <v>OHIYA Casino Resort</v>
      </c>
    </row>
    <row r="299" spans="2:13">
      <c r="B299" s="50">
        <f t="shared" si="22"/>
        <v>45991</v>
      </c>
      <c r="C299">
        <v>3116128</v>
      </c>
      <c r="D299">
        <v>2540857</v>
      </c>
      <c r="E299" s="3">
        <v>7619</v>
      </c>
      <c r="F299" s="3">
        <v>685.8</v>
      </c>
      <c r="G299" s="3">
        <v>548.64</v>
      </c>
      <c r="H299" s="10">
        <v>137.16</v>
      </c>
      <c r="I299" s="10">
        <f t="shared" si="24"/>
        <v>137.16</v>
      </c>
      <c r="J299" s="10">
        <f t="shared" si="23"/>
        <v>137.16</v>
      </c>
      <c r="K299">
        <v>30</v>
      </c>
      <c r="L299">
        <v>0.2</v>
      </c>
      <c r="M299" t="str">
        <f>VLOOKUP(C299,Lookup!B:C,2,0)</f>
        <v>OHIYA Casino Resort</v>
      </c>
    </row>
    <row r="300" spans="2:13">
      <c r="B300" s="50">
        <f t="shared" si="22"/>
        <v>45991</v>
      </c>
      <c r="C300">
        <v>3116128</v>
      </c>
      <c r="D300">
        <v>2540131</v>
      </c>
      <c r="E300" s="3">
        <v>5184</v>
      </c>
      <c r="F300" s="3">
        <v>983.81999999999994</v>
      </c>
      <c r="G300" s="3">
        <v>787.05599999999993</v>
      </c>
      <c r="H300" s="10">
        <v>196.76400000000001</v>
      </c>
      <c r="I300" s="10">
        <f t="shared" si="24"/>
        <v>196.76400000000001</v>
      </c>
      <c r="J300" s="10">
        <f t="shared" si="23"/>
        <v>196.76400000000001</v>
      </c>
      <c r="K300">
        <v>30</v>
      </c>
      <c r="L300">
        <v>0.2</v>
      </c>
      <c r="M300" t="str">
        <f>VLOOKUP(C300,Lookup!B:C,2,0)</f>
        <v>OHIYA Casino Resort</v>
      </c>
    </row>
    <row r="301" spans="2:13">
      <c r="B301" s="50">
        <f t="shared" si="22"/>
        <v>45991</v>
      </c>
      <c r="C301">
        <v>3116128</v>
      </c>
      <c r="D301">
        <v>2540132</v>
      </c>
      <c r="E301" s="3">
        <v>5567</v>
      </c>
      <c r="F301" s="3">
        <v>1501.57</v>
      </c>
      <c r="G301" s="3">
        <v>1201.2559999999999</v>
      </c>
      <c r="H301" s="10">
        <v>300.31400000000002</v>
      </c>
      <c r="I301" s="10">
        <f t="shared" si="24"/>
        <v>300.31400000000002</v>
      </c>
      <c r="J301" s="10">
        <f t="shared" si="23"/>
        <v>300.31400000000002</v>
      </c>
      <c r="K301">
        <v>30</v>
      </c>
      <c r="L301">
        <v>0.2</v>
      </c>
      <c r="M301" t="str">
        <f>VLOOKUP(C301,Lookup!B:C,2,0)</f>
        <v>OHIYA Casino Resort</v>
      </c>
    </row>
    <row r="302" spans="2:13">
      <c r="B302" s="50">
        <f t="shared" si="22"/>
        <v>45991</v>
      </c>
      <c r="C302">
        <v>3116128</v>
      </c>
      <c r="D302">
        <v>2540858</v>
      </c>
      <c r="E302" s="3">
        <v>3065</v>
      </c>
      <c r="F302" s="3">
        <v>2414.1999999999998</v>
      </c>
      <c r="G302" s="3">
        <v>1931.36</v>
      </c>
      <c r="H302" s="10">
        <v>482.84</v>
      </c>
      <c r="I302" s="10">
        <f t="shared" si="24"/>
        <v>482.84</v>
      </c>
      <c r="J302" s="10">
        <f t="shared" si="23"/>
        <v>482.84</v>
      </c>
      <c r="K302">
        <v>30</v>
      </c>
      <c r="L302">
        <v>0.2</v>
      </c>
      <c r="M302" t="str">
        <f>VLOOKUP(C302,Lookup!B:C,2,0)</f>
        <v>OHIYA Casino Resort</v>
      </c>
    </row>
    <row r="303" spans="2:13">
      <c r="B303" s="50">
        <f t="shared" si="22"/>
        <v>45991</v>
      </c>
      <c r="C303">
        <v>3116128</v>
      </c>
      <c r="D303">
        <v>2540859</v>
      </c>
      <c r="E303" s="3">
        <v>3196</v>
      </c>
      <c r="F303" s="3">
        <v>-444.4</v>
      </c>
      <c r="G303" s="3">
        <v>0</v>
      </c>
      <c r="H303" s="10">
        <v>0</v>
      </c>
      <c r="I303" s="10">
        <f t="shared" si="24"/>
        <v>0</v>
      </c>
      <c r="J303" s="10">
        <f t="shared" si="23"/>
        <v>0</v>
      </c>
      <c r="K303">
        <v>30</v>
      </c>
      <c r="L303">
        <v>0.2</v>
      </c>
      <c r="M303" t="str">
        <f>VLOOKUP(C303,Lookup!B:C,2,0)</f>
        <v>OHIYA Casino Resort</v>
      </c>
    </row>
    <row r="304" spans="2:13">
      <c r="B304" s="50">
        <f t="shared" si="22"/>
        <v>45991</v>
      </c>
      <c r="C304">
        <v>3304946</v>
      </c>
      <c r="D304">
        <v>2639885</v>
      </c>
      <c r="E304" s="3">
        <v>50558.200000000004</v>
      </c>
      <c r="F304" s="3">
        <v>657.05999999999767</v>
      </c>
      <c r="G304" s="3">
        <f>+F304-H304</f>
        <v>591.35399999999788</v>
      </c>
      <c r="H304" s="10">
        <v>65.705999999999776</v>
      </c>
      <c r="I304" s="10">
        <f t="shared" si="24"/>
        <v>65.705999999999776</v>
      </c>
      <c r="J304" s="10">
        <f t="shared" si="23"/>
        <v>65.705999999999776</v>
      </c>
      <c r="K304">
        <v>30</v>
      </c>
      <c r="L304">
        <v>0.10000000000000002</v>
      </c>
      <c r="M304" t="str">
        <f>VLOOKUP(C304,Lookup!B:C,2,0)</f>
        <v>Border Casino  (Northern)</v>
      </c>
    </row>
    <row r="305" spans="2:13">
      <c r="B305" s="50">
        <f t="shared" ref="B305:B308" si="25">B304</f>
        <v>45991</v>
      </c>
      <c r="C305">
        <v>3304946</v>
      </c>
      <c r="D305">
        <v>2639887</v>
      </c>
      <c r="E305" s="3">
        <v>26084.600000000002</v>
      </c>
      <c r="F305" s="3">
        <v>1530.6899999999987</v>
      </c>
      <c r="G305" s="3">
        <f t="shared" ref="G305:G312" si="26">+F305-H305</f>
        <v>1377.6209999999987</v>
      </c>
      <c r="H305" s="10">
        <v>153.06899999999987</v>
      </c>
      <c r="I305" s="10">
        <f t="shared" si="24"/>
        <v>153.06899999999987</v>
      </c>
      <c r="J305" s="10">
        <f t="shared" si="23"/>
        <v>153.06899999999987</v>
      </c>
      <c r="K305">
        <v>30</v>
      </c>
      <c r="L305">
        <v>0.10000000000000002</v>
      </c>
      <c r="M305" t="str">
        <f>VLOOKUP(C305,Lookup!B:C,2,0)</f>
        <v>Border Casino  (Northern)</v>
      </c>
    </row>
    <row r="306" spans="2:13">
      <c r="B306" s="50">
        <f t="shared" si="25"/>
        <v>45991</v>
      </c>
      <c r="C306">
        <v>3304946</v>
      </c>
      <c r="D306">
        <v>2639886</v>
      </c>
      <c r="E306" s="3">
        <v>33983.200000000004</v>
      </c>
      <c r="F306" s="3">
        <v>4794.5400000000009</v>
      </c>
      <c r="G306" s="3">
        <f t="shared" si="26"/>
        <v>4315.0860000000011</v>
      </c>
      <c r="H306" s="10">
        <v>479.45400000000012</v>
      </c>
      <c r="I306" s="10">
        <f t="shared" si="24"/>
        <v>479.45400000000012</v>
      </c>
      <c r="J306" s="10">
        <f t="shared" si="23"/>
        <v>479.45400000000012</v>
      </c>
      <c r="K306">
        <v>30</v>
      </c>
      <c r="L306">
        <v>0.10000000000000002</v>
      </c>
      <c r="M306" t="str">
        <f>VLOOKUP(C306,Lookup!B:C,2,0)</f>
        <v>Border Casino  (Northern)</v>
      </c>
    </row>
    <row r="307" spans="2:13">
      <c r="B307" s="50">
        <f t="shared" si="25"/>
        <v>45991</v>
      </c>
      <c r="C307">
        <v>3304946</v>
      </c>
      <c r="D307">
        <v>2639888</v>
      </c>
      <c r="E307" s="3">
        <v>46433.599999999991</v>
      </c>
      <c r="F307" s="3">
        <v>7026.0999999999985</v>
      </c>
      <c r="G307" s="3">
        <f t="shared" si="26"/>
        <v>6323.4899999999989</v>
      </c>
      <c r="H307" s="10">
        <v>702.6099999999999</v>
      </c>
      <c r="I307" s="10">
        <f t="shared" si="24"/>
        <v>702.6099999999999</v>
      </c>
      <c r="J307" s="10">
        <f t="shared" si="23"/>
        <v>702.6099999999999</v>
      </c>
      <c r="K307">
        <v>30</v>
      </c>
      <c r="L307">
        <v>0.10000000000000002</v>
      </c>
      <c r="M307" t="str">
        <f>VLOOKUP(C307,Lookup!B:C,2,0)</f>
        <v>Border Casino  (Northern)</v>
      </c>
    </row>
    <row r="308" spans="2:13">
      <c r="B308" s="50">
        <f t="shared" si="25"/>
        <v>45991</v>
      </c>
      <c r="C308">
        <v>3105234</v>
      </c>
      <c r="D308">
        <v>2648890</v>
      </c>
      <c r="E308" s="3">
        <v>166155.5</v>
      </c>
      <c r="F308" s="3">
        <v>8377.5100000000093</v>
      </c>
      <c r="G308" s="3">
        <f t="shared" si="26"/>
        <v>7539.7590000000082</v>
      </c>
      <c r="H308" s="10">
        <v>837.751000000001</v>
      </c>
      <c r="I308" s="10">
        <f t="shared" si="24"/>
        <v>837.751000000001</v>
      </c>
      <c r="J308" s="10">
        <f t="shared" si="23"/>
        <v>837.751000000001</v>
      </c>
      <c r="K308">
        <v>30</v>
      </c>
      <c r="L308">
        <v>0.10000000000000002</v>
      </c>
      <c r="M308" t="str">
        <f>VLOOKUP(C308,Lookup!B:C,2,0)</f>
        <v>WinStar World Casino</v>
      </c>
    </row>
    <row r="309" spans="2:13">
      <c r="B309" s="50">
        <f t="shared" ref="B309:B313" si="27">B308</f>
        <v>45991</v>
      </c>
      <c r="C309">
        <v>3105234</v>
      </c>
      <c r="D309">
        <v>2648893</v>
      </c>
      <c r="E309" s="3">
        <v>129848.5</v>
      </c>
      <c r="F309" s="3">
        <v>7587.6399999999994</v>
      </c>
      <c r="G309" s="3">
        <f t="shared" si="26"/>
        <v>6828.8759999999993</v>
      </c>
      <c r="H309" s="10">
        <v>758.76400000000001</v>
      </c>
      <c r="I309" s="10">
        <f t="shared" si="24"/>
        <v>758.76400000000001</v>
      </c>
      <c r="J309" s="10">
        <f t="shared" si="23"/>
        <v>758.76400000000001</v>
      </c>
      <c r="K309">
        <v>30</v>
      </c>
      <c r="L309">
        <v>0.10000000000000002</v>
      </c>
      <c r="M309" t="str">
        <f>VLOOKUP(C309,Lookup!B:C,2,0)</f>
        <v>WinStar World Casino</v>
      </c>
    </row>
    <row r="310" spans="2:13">
      <c r="B310" s="50">
        <f t="shared" si="27"/>
        <v>45991</v>
      </c>
      <c r="C310">
        <v>3105234</v>
      </c>
      <c r="D310">
        <v>2648891</v>
      </c>
      <c r="E310" s="3">
        <v>163293.25</v>
      </c>
      <c r="F310" s="3">
        <v>11518.579999999987</v>
      </c>
      <c r="G310" s="3">
        <f t="shared" si="26"/>
        <v>10366.721999999989</v>
      </c>
      <c r="H310" s="10">
        <v>1151.8579999999988</v>
      </c>
      <c r="I310" s="10">
        <f t="shared" si="24"/>
        <v>1151.8579999999988</v>
      </c>
      <c r="J310" s="10">
        <f t="shared" si="23"/>
        <v>1151.8579999999988</v>
      </c>
      <c r="K310">
        <v>30</v>
      </c>
      <c r="L310">
        <v>0.10000000000000002</v>
      </c>
      <c r="M310" t="str">
        <f>VLOOKUP(C310,Lookup!B:C,2,0)</f>
        <v>WinStar World Casino</v>
      </c>
    </row>
    <row r="311" spans="2:13">
      <c r="B311" s="50">
        <f t="shared" si="27"/>
        <v>45991</v>
      </c>
      <c r="C311">
        <v>3105234</v>
      </c>
      <c r="D311">
        <v>2648894</v>
      </c>
      <c r="E311" s="3">
        <v>115442.25</v>
      </c>
      <c r="F311" s="3">
        <v>8571.9100000000035</v>
      </c>
      <c r="G311" s="3">
        <f t="shared" si="26"/>
        <v>7714.7190000000028</v>
      </c>
      <c r="H311" s="10">
        <v>857.19100000000037</v>
      </c>
      <c r="I311" s="10">
        <f t="shared" si="24"/>
        <v>857.19100000000037</v>
      </c>
      <c r="J311" s="10">
        <f t="shared" si="23"/>
        <v>857.19100000000037</v>
      </c>
      <c r="K311">
        <v>30</v>
      </c>
      <c r="L311">
        <v>0.10000000000000002</v>
      </c>
      <c r="M311" t="str">
        <f>VLOOKUP(C311,Lookup!B:C,2,0)</f>
        <v>WinStar World Casino</v>
      </c>
    </row>
    <row r="312" spans="2:13">
      <c r="B312" s="50">
        <f t="shared" si="27"/>
        <v>45991</v>
      </c>
      <c r="C312">
        <v>3105234</v>
      </c>
      <c r="D312">
        <v>2648892</v>
      </c>
      <c r="E312" s="3">
        <v>186190.5</v>
      </c>
      <c r="F312" s="3">
        <v>18289.950000000012</v>
      </c>
      <c r="G312" s="3">
        <f t="shared" si="26"/>
        <v>16460.955000000009</v>
      </c>
      <c r="H312" s="10">
        <v>1828.9950000000013</v>
      </c>
      <c r="I312" s="10">
        <f t="shared" si="24"/>
        <v>1828.9950000000013</v>
      </c>
      <c r="J312" s="10">
        <f t="shared" si="23"/>
        <v>1828.9950000000013</v>
      </c>
      <c r="K312">
        <v>30</v>
      </c>
      <c r="L312">
        <v>0.10000000000000002</v>
      </c>
      <c r="M312" t="str">
        <f>VLOOKUP(C312,Lookup!B:C,2,0)</f>
        <v>WinStar World Casino</v>
      </c>
    </row>
    <row r="313" spans="2:13">
      <c r="B313" s="50">
        <f t="shared" si="27"/>
        <v>45991</v>
      </c>
      <c r="C313">
        <v>3104105</v>
      </c>
      <c r="D313">
        <v>1973782</v>
      </c>
      <c r="E313" s="3">
        <v>755680</v>
      </c>
      <c r="F313" s="3">
        <v>44568.3</v>
      </c>
      <c r="G313" s="3">
        <v>41012.899464133021</v>
      </c>
      <c r="H313" s="10">
        <v>3555.4005358669847</v>
      </c>
      <c r="I313" s="10">
        <f t="shared" si="24"/>
        <v>3555.4005358669847</v>
      </c>
      <c r="J313" s="10">
        <f t="shared" si="23"/>
        <v>3555.4005358669847</v>
      </c>
      <c r="K313">
        <v>30</v>
      </c>
      <c r="M313" t="str">
        <f>VLOOKUP(C313,Lookup!B:C,2,0)</f>
        <v>San Pablo</v>
      </c>
    </row>
    <row r="314" spans="2:13">
      <c r="B314" s="50">
        <f t="shared" ref="B314:B377" si="28">B313</f>
        <v>45991</v>
      </c>
      <c r="C314">
        <v>3104105</v>
      </c>
      <c r="D314">
        <v>1982113</v>
      </c>
      <c r="E314" s="3">
        <v>593228</v>
      </c>
      <c r="F314" s="3">
        <v>14765.26</v>
      </c>
      <c r="G314" s="3">
        <v>13457.671464133015</v>
      </c>
      <c r="H314" s="10">
        <v>1307.5885358669848</v>
      </c>
      <c r="I314" s="10">
        <f t="shared" si="24"/>
        <v>1307.5885358669848</v>
      </c>
      <c r="J314" s="10">
        <f t="shared" si="23"/>
        <v>1307.5885358669848</v>
      </c>
      <c r="K314">
        <v>30</v>
      </c>
      <c r="M314" t="str">
        <f>VLOOKUP(C314,Lookup!B:C,2,0)</f>
        <v>San Pablo</v>
      </c>
    </row>
    <row r="315" spans="2:13">
      <c r="B315" s="50">
        <f t="shared" si="28"/>
        <v>45991</v>
      </c>
      <c r="C315">
        <v>3104105</v>
      </c>
      <c r="D315">
        <v>1982115</v>
      </c>
      <c r="E315" s="3">
        <v>1001707</v>
      </c>
      <c r="F315" s="3">
        <v>19584.8</v>
      </c>
      <c r="G315" s="3">
        <v>17981.030664133013</v>
      </c>
      <c r="H315" s="10">
        <v>1603.7693358669846</v>
      </c>
      <c r="I315" s="10">
        <f t="shared" si="24"/>
        <v>1603.7693358669846</v>
      </c>
      <c r="J315" s="10">
        <f t="shared" si="23"/>
        <v>1603.7693358669846</v>
      </c>
      <c r="K315">
        <v>30</v>
      </c>
      <c r="M315" t="str">
        <f>VLOOKUP(C315,Lookup!B:C,2,0)</f>
        <v>San Pablo</v>
      </c>
    </row>
    <row r="316" spans="2:13">
      <c r="B316" s="50">
        <f t="shared" si="28"/>
        <v>45991</v>
      </c>
      <c r="C316">
        <v>3104105</v>
      </c>
      <c r="D316">
        <v>1988014</v>
      </c>
      <c r="E316" s="3">
        <v>1195245</v>
      </c>
      <c r="F316" s="3">
        <v>47876.69</v>
      </c>
      <c r="G316" s="3">
        <v>43919.84306413302</v>
      </c>
      <c r="H316" s="10">
        <v>3956.8469358669845</v>
      </c>
      <c r="I316" s="10">
        <f t="shared" si="24"/>
        <v>3956.8469358669845</v>
      </c>
      <c r="J316" s="10">
        <f t="shared" si="23"/>
        <v>3956.8469358669845</v>
      </c>
      <c r="K316">
        <v>30</v>
      </c>
      <c r="M316" t="str">
        <f>VLOOKUP(C316,Lookup!B:C,2,0)</f>
        <v>San Pablo</v>
      </c>
    </row>
    <row r="317" spans="2:13">
      <c r="B317" s="50">
        <f t="shared" si="28"/>
        <v>45991</v>
      </c>
      <c r="C317">
        <v>3104105</v>
      </c>
      <c r="D317">
        <v>1989075</v>
      </c>
      <c r="E317" s="3">
        <v>308629</v>
      </c>
      <c r="F317" s="3">
        <v>27937.58</v>
      </c>
      <c r="G317" s="3">
        <v>25867.007464133017</v>
      </c>
      <c r="H317" s="10">
        <v>2070.5725358669847</v>
      </c>
      <c r="I317" s="10">
        <f t="shared" si="24"/>
        <v>2070.5725358669847</v>
      </c>
      <c r="J317" s="10">
        <f t="shared" si="23"/>
        <v>2070.5725358669847</v>
      </c>
      <c r="K317">
        <v>30</v>
      </c>
      <c r="M317" t="str">
        <f>VLOOKUP(C317,Lookup!B:C,2,0)</f>
        <v>San Pablo</v>
      </c>
    </row>
    <row r="318" spans="2:13">
      <c r="B318" s="50">
        <f t="shared" si="28"/>
        <v>45991</v>
      </c>
      <c r="C318">
        <v>3104105</v>
      </c>
      <c r="D318">
        <v>1989077</v>
      </c>
      <c r="E318" s="3">
        <v>798471</v>
      </c>
      <c r="F318" s="3">
        <v>50550.48</v>
      </c>
      <c r="G318" s="3">
        <v>45996.11146413302</v>
      </c>
      <c r="H318" s="10">
        <v>4554.3685358669845</v>
      </c>
      <c r="I318" s="10">
        <f t="shared" si="24"/>
        <v>4554.3685358669845</v>
      </c>
      <c r="J318" s="10">
        <f t="shared" si="23"/>
        <v>4554.3685358669845</v>
      </c>
      <c r="K318">
        <v>30</v>
      </c>
      <c r="M318" t="str">
        <f>VLOOKUP(C318,Lookup!B:C,2,0)</f>
        <v>San Pablo</v>
      </c>
    </row>
    <row r="319" spans="2:13">
      <c r="B319" s="50">
        <f t="shared" si="28"/>
        <v>45991</v>
      </c>
      <c r="C319">
        <v>3104105</v>
      </c>
      <c r="D319">
        <v>1994579</v>
      </c>
      <c r="E319" s="3">
        <v>528067</v>
      </c>
      <c r="F319" s="3">
        <v>34733.18</v>
      </c>
      <c r="G319" s="3">
        <v>32021.128264133014</v>
      </c>
      <c r="H319" s="10">
        <v>2712.0517358669849</v>
      </c>
      <c r="I319" s="10">
        <f t="shared" si="24"/>
        <v>2712.0517358669849</v>
      </c>
      <c r="J319" s="10">
        <f t="shared" si="23"/>
        <v>2712.0517358669849</v>
      </c>
      <c r="K319">
        <v>30</v>
      </c>
      <c r="M319" t="str">
        <f>VLOOKUP(C319,Lookup!B:C,2,0)</f>
        <v>San Pablo</v>
      </c>
    </row>
    <row r="320" spans="2:13">
      <c r="B320" s="50">
        <f t="shared" si="28"/>
        <v>45991</v>
      </c>
      <c r="C320">
        <v>3104105</v>
      </c>
      <c r="D320">
        <v>2080653</v>
      </c>
      <c r="E320" s="3">
        <v>261459</v>
      </c>
      <c r="F320" s="3">
        <v>15182.31</v>
      </c>
      <c r="G320" s="3">
        <v>14020.288664133015</v>
      </c>
      <c r="H320" s="10">
        <v>1162.0213358669846</v>
      </c>
      <c r="I320" s="10">
        <f t="shared" si="24"/>
        <v>1162.0213358669846</v>
      </c>
      <c r="J320" s="10">
        <f t="shared" si="23"/>
        <v>1162.0213358669846</v>
      </c>
      <c r="K320">
        <v>30</v>
      </c>
      <c r="M320" t="str">
        <f>VLOOKUP(C320,Lookup!B:C,2,0)</f>
        <v>San Pablo</v>
      </c>
    </row>
    <row r="321" spans="2:13">
      <c r="B321" s="50">
        <f t="shared" si="28"/>
        <v>45991</v>
      </c>
      <c r="C321">
        <v>3104105</v>
      </c>
      <c r="D321">
        <v>2082139</v>
      </c>
      <c r="E321" s="3">
        <v>412329</v>
      </c>
      <c r="F321" s="3">
        <v>28889.49</v>
      </c>
      <c r="G321" s="3">
        <v>26536.046264133016</v>
      </c>
      <c r="H321" s="10">
        <v>2353.4437358669848</v>
      </c>
      <c r="I321" s="10">
        <f t="shared" si="24"/>
        <v>2353.4437358669848</v>
      </c>
      <c r="J321" s="10">
        <f t="shared" si="23"/>
        <v>2353.4437358669848</v>
      </c>
      <c r="K321">
        <v>30</v>
      </c>
      <c r="M321" t="str">
        <f>VLOOKUP(C321,Lookup!B:C,2,0)</f>
        <v>San Pablo</v>
      </c>
    </row>
    <row r="322" spans="2:13">
      <c r="B322" s="50">
        <f t="shared" si="28"/>
        <v>45991</v>
      </c>
      <c r="C322">
        <v>3104105</v>
      </c>
      <c r="D322">
        <v>2088914</v>
      </c>
      <c r="E322" s="3">
        <v>173682.8</v>
      </c>
      <c r="F322" s="3">
        <v>18086.89</v>
      </c>
      <c r="G322" s="3">
        <v>16689.201464133013</v>
      </c>
      <c r="H322" s="10">
        <v>1397.6885358669847</v>
      </c>
      <c r="I322" s="10">
        <f t="shared" si="24"/>
        <v>1397.6885358669847</v>
      </c>
      <c r="J322" s="10">
        <f t="shared" ref="J322:J385" si="29">I322</f>
        <v>1397.6885358669847</v>
      </c>
      <c r="K322">
        <v>30</v>
      </c>
      <c r="M322" t="str">
        <f>VLOOKUP(C322,Lookup!B:C,2,0)</f>
        <v>San Pablo</v>
      </c>
    </row>
    <row r="323" spans="2:13">
      <c r="B323" s="50">
        <f t="shared" si="28"/>
        <v>45991</v>
      </c>
      <c r="C323">
        <v>3104105</v>
      </c>
      <c r="D323">
        <v>2088916</v>
      </c>
      <c r="E323" s="3">
        <v>201189.6</v>
      </c>
      <c r="F323" s="3">
        <v>26760.97</v>
      </c>
      <c r="G323" s="3">
        <v>24671.545464133018</v>
      </c>
      <c r="H323" s="10">
        <v>2089.4245358669846</v>
      </c>
      <c r="I323" s="10">
        <f t="shared" si="24"/>
        <v>2089.4245358669846</v>
      </c>
      <c r="J323" s="10">
        <f t="shared" si="29"/>
        <v>2089.4245358669846</v>
      </c>
      <c r="K323">
        <v>30</v>
      </c>
      <c r="M323" t="str">
        <f>VLOOKUP(C323,Lookup!B:C,2,0)</f>
        <v>San Pablo</v>
      </c>
    </row>
    <row r="324" spans="2:13">
      <c r="B324" s="50">
        <f t="shared" si="28"/>
        <v>45991</v>
      </c>
      <c r="C324">
        <v>3104105</v>
      </c>
      <c r="D324">
        <v>2088919</v>
      </c>
      <c r="E324" s="3">
        <v>233629.8</v>
      </c>
      <c r="F324" s="3">
        <v>18077.95</v>
      </c>
      <c r="G324" s="3">
        <v>16675.308664133016</v>
      </c>
      <c r="H324" s="10">
        <v>1402.6413358669847</v>
      </c>
      <c r="I324" s="10">
        <f t="shared" ref="I324:I387" si="30">H324</f>
        <v>1402.6413358669847</v>
      </c>
      <c r="J324" s="10">
        <f t="shared" si="29"/>
        <v>1402.6413358669847</v>
      </c>
      <c r="K324">
        <v>30</v>
      </c>
      <c r="M324" t="str">
        <f>VLOOKUP(C324,Lookup!B:C,2,0)</f>
        <v>San Pablo</v>
      </c>
    </row>
    <row r="325" spans="2:13">
      <c r="B325" s="50">
        <f t="shared" si="28"/>
        <v>45991</v>
      </c>
      <c r="C325">
        <v>3104105</v>
      </c>
      <c r="D325">
        <v>2088920</v>
      </c>
      <c r="E325" s="3">
        <v>218770.8</v>
      </c>
      <c r="F325" s="3">
        <v>23270.79</v>
      </c>
      <c r="G325" s="3">
        <v>21448.289464133017</v>
      </c>
      <c r="H325" s="10">
        <v>1822.5005358669846</v>
      </c>
      <c r="I325" s="10">
        <f t="shared" si="30"/>
        <v>1822.5005358669846</v>
      </c>
      <c r="J325" s="10">
        <f t="shared" si="29"/>
        <v>1822.5005358669846</v>
      </c>
      <c r="K325">
        <v>30</v>
      </c>
      <c r="M325" t="str">
        <f>VLOOKUP(C325,Lookup!B:C,2,0)</f>
        <v>San Pablo</v>
      </c>
    </row>
    <row r="326" spans="2:13">
      <c r="B326" s="50">
        <f t="shared" si="28"/>
        <v>45991</v>
      </c>
      <c r="C326">
        <v>3104105</v>
      </c>
      <c r="D326">
        <v>2088924</v>
      </c>
      <c r="E326" s="3">
        <v>814831</v>
      </c>
      <c r="F326" s="3">
        <v>42567.75</v>
      </c>
      <c r="G326" s="3">
        <v>39265.336664133014</v>
      </c>
      <c r="H326" s="10">
        <v>3302.4133358669847</v>
      </c>
      <c r="I326" s="10">
        <f t="shared" si="30"/>
        <v>3302.4133358669847</v>
      </c>
      <c r="J326" s="10">
        <f t="shared" si="29"/>
        <v>3302.4133358669847</v>
      </c>
      <c r="K326">
        <v>30</v>
      </c>
      <c r="M326" t="str">
        <f>VLOOKUP(C326,Lookup!B:C,2,0)</f>
        <v>San Pablo</v>
      </c>
    </row>
    <row r="327" spans="2:13">
      <c r="B327" s="50">
        <f t="shared" si="28"/>
        <v>45991</v>
      </c>
      <c r="C327">
        <v>3104105</v>
      </c>
      <c r="D327">
        <v>2088925</v>
      </c>
      <c r="E327" s="3">
        <v>197386.8</v>
      </c>
      <c r="F327" s="3">
        <v>21157.39</v>
      </c>
      <c r="G327" s="3">
        <v>19507.426264133013</v>
      </c>
      <c r="H327" s="10">
        <v>1649.9637358669845</v>
      </c>
      <c r="I327" s="10">
        <f t="shared" si="30"/>
        <v>1649.9637358669845</v>
      </c>
      <c r="J327" s="10">
        <f t="shared" si="29"/>
        <v>1649.9637358669845</v>
      </c>
      <c r="K327">
        <v>30</v>
      </c>
      <c r="M327" t="str">
        <f>VLOOKUP(C327,Lookup!B:C,2,0)</f>
        <v>San Pablo</v>
      </c>
    </row>
    <row r="328" spans="2:13">
      <c r="B328" s="50">
        <f t="shared" si="28"/>
        <v>45991</v>
      </c>
      <c r="C328">
        <v>3104105</v>
      </c>
      <c r="D328">
        <v>2089804</v>
      </c>
      <c r="E328" s="3">
        <v>939779</v>
      </c>
      <c r="F328" s="3">
        <v>54220.71</v>
      </c>
      <c r="G328" s="3">
        <v>49829.905464133015</v>
      </c>
      <c r="H328" s="10">
        <v>4390.8045358669842</v>
      </c>
      <c r="I328" s="10">
        <f t="shared" si="30"/>
        <v>4390.8045358669842</v>
      </c>
      <c r="J328" s="10">
        <f t="shared" si="29"/>
        <v>4390.8045358669842</v>
      </c>
      <c r="K328">
        <v>30</v>
      </c>
      <c r="M328" t="str">
        <f>VLOOKUP(C328,Lookup!B:C,2,0)</f>
        <v>San Pablo</v>
      </c>
    </row>
    <row r="329" spans="2:13">
      <c r="B329" s="50">
        <f t="shared" si="28"/>
        <v>45991</v>
      </c>
      <c r="C329">
        <v>3104105</v>
      </c>
      <c r="D329">
        <v>2103376</v>
      </c>
      <c r="E329" s="3">
        <v>839517</v>
      </c>
      <c r="F329" s="3">
        <v>44699.55</v>
      </c>
      <c r="G329" s="3">
        <v>41034.417464133017</v>
      </c>
      <c r="H329" s="10">
        <v>3665.1325358669842</v>
      </c>
      <c r="I329" s="10">
        <f t="shared" si="30"/>
        <v>3665.1325358669842</v>
      </c>
      <c r="J329" s="10">
        <f t="shared" si="29"/>
        <v>3665.1325358669842</v>
      </c>
      <c r="K329">
        <v>30</v>
      </c>
      <c r="M329" t="str">
        <f>VLOOKUP(C329,Lookup!B:C,2,0)</f>
        <v>San Pablo</v>
      </c>
    </row>
    <row r="330" spans="2:13">
      <c r="B330" s="50">
        <f t="shared" si="28"/>
        <v>45991</v>
      </c>
      <c r="C330">
        <v>3104105</v>
      </c>
      <c r="D330">
        <v>2106968</v>
      </c>
      <c r="E330" s="3">
        <v>255454</v>
      </c>
      <c r="F330" s="3">
        <v>17922.16</v>
      </c>
      <c r="G330" s="3">
        <v>16539.306664133015</v>
      </c>
      <c r="H330" s="10">
        <v>1382.8533358669845</v>
      </c>
      <c r="I330" s="10">
        <f t="shared" si="30"/>
        <v>1382.8533358669845</v>
      </c>
      <c r="J330" s="10">
        <f t="shared" si="29"/>
        <v>1382.8533358669845</v>
      </c>
      <c r="K330">
        <v>30</v>
      </c>
      <c r="M330" t="str">
        <f>VLOOKUP(C330,Lookup!B:C,2,0)</f>
        <v>San Pablo</v>
      </c>
    </row>
    <row r="331" spans="2:13">
      <c r="B331" s="50">
        <f t="shared" si="28"/>
        <v>45991</v>
      </c>
      <c r="C331">
        <v>3104105</v>
      </c>
      <c r="D331">
        <v>2106975</v>
      </c>
      <c r="E331" s="3">
        <v>421849</v>
      </c>
      <c r="F331" s="3">
        <v>30342.93</v>
      </c>
      <c r="G331" s="3">
        <v>27977.875864133017</v>
      </c>
      <c r="H331" s="10">
        <v>2365.0541358669848</v>
      </c>
      <c r="I331" s="10">
        <f t="shared" si="30"/>
        <v>2365.0541358669848</v>
      </c>
      <c r="J331" s="10">
        <f t="shared" si="29"/>
        <v>2365.0541358669848</v>
      </c>
      <c r="K331">
        <v>30</v>
      </c>
      <c r="M331" t="str">
        <f>VLOOKUP(C331,Lookup!B:C,2,0)</f>
        <v>San Pablo</v>
      </c>
    </row>
    <row r="332" spans="2:13">
      <c r="B332" s="50">
        <f t="shared" si="28"/>
        <v>45991</v>
      </c>
      <c r="C332">
        <v>3104105</v>
      </c>
      <c r="D332">
        <v>2106976</v>
      </c>
      <c r="E332" s="3">
        <v>410173</v>
      </c>
      <c r="F332" s="3">
        <v>24528.41</v>
      </c>
      <c r="G332" s="3">
        <v>22618.885464133014</v>
      </c>
      <c r="H332" s="10">
        <v>1909.5245358669847</v>
      </c>
      <c r="I332" s="10">
        <f t="shared" si="30"/>
        <v>1909.5245358669847</v>
      </c>
      <c r="J332" s="10">
        <f t="shared" si="29"/>
        <v>1909.5245358669847</v>
      </c>
      <c r="K332">
        <v>30</v>
      </c>
      <c r="M332" t="str">
        <f>VLOOKUP(C332,Lookup!B:C,2,0)</f>
        <v>San Pablo</v>
      </c>
    </row>
    <row r="333" spans="2:13">
      <c r="B333" s="50">
        <f t="shared" si="28"/>
        <v>45991</v>
      </c>
      <c r="C333">
        <v>3104105</v>
      </c>
      <c r="D333">
        <v>2106985</v>
      </c>
      <c r="E333" s="3">
        <v>743423</v>
      </c>
      <c r="F333" s="3">
        <v>41867.54</v>
      </c>
      <c r="G333" s="3">
        <v>38574.925064133015</v>
      </c>
      <c r="H333" s="10">
        <v>3292.614935866985</v>
      </c>
      <c r="I333" s="10">
        <f t="shared" si="30"/>
        <v>3292.614935866985</v>
      </c>
      <c r="J333" s="10">
        <f t="shared" si="29"/>
        <v>3292.614935866985</v>
      </c>
      <c r="K333">
        <v>30</v>
      </c>
      <c r="M333" t="str">
        <f>VLOOKUP(C333,Lookup!B:C,2,0)</f>
        <v>San Pablo</v>
      </c>
    </row>
    <row r="334" spans="2:13">
      <c r="B334" s="50">
        <f t="shared" si="28"/>
        <v>45991</v>
      </c>
      <c r="C334">
        <v>3104105</v>
      </c>
      <c r="D334">
        <v>2155356</v>
      </c>
      <c r="E334" s="3">
        <v>771878</v>
      </c>
      <c r="F334" s="3">
        <v>42665.919999999998</v>
      </c>
      <c r="G334" s="3">
        <v>39335.487464133017</v>
      </c>
      <c r="H334" s="10">
        <v>3330.4325358669844</v>
      </c>
      <c r="I334" s="10">
        <f t="shared" si="30"/>
        <v>3330.4325358669844</v>
      </c>
      <c r="J334" s="10">
        <f t="shared" si="29"/>
        <v>3330.4325358669844</v>
      </c>
      <c r="K334">
        <v>30</v>
      </c>
      <c r="M334" t="str">
        <f>VLOOKUP(C334,Lookup!B:C,2,0)</f>
        <v>San Pablo</v>
      </c>
    </row>
    <row r="335" spans="2:13">
      <c r="B335" s="50">
        <f t="shared" si="28"/>
        <v>45991</v>
      </c>
      <c r="C335">
        <v>3104105</v>
      </c>
      <c r="D335">
        <v>2155357</v>
      </c>
      <c r="E335" s="3">
        <v>826266</v>
      </c>
      <c r="F335" s="3">
        <v>51519</v>
      </c>
      <c r="G335" s="3">
        <v>47449.211464133012</v>
      </c>
      <c r="H335" s="10">
        <v>4069.7885358669846</v>
      </c>
      <c r="I335" s="10">
        <f t="shared" si="30"/>
        <v>4069.7885358669846</v>
      </c>
      <c r="J335" s="10">
        <f t="shared" si="29"/>
        <v>4069.7885358669846</v>
      </c>
      <c r="K335">
        <v>30</v>
      </c>
      <c r="M335" t="str">
        <f>VLOOKUP(C335,Lookup!B:C,2,0)</f>
        <v>San Pablo</v>
      </c>
    </row>
    <row r="336" spans="2:13">
      <c r="B336" s="50">
        <f t="shared" si="28"/>
        <v>45991</v>
      </c>
      <c r="C336">
        <v>3104105</v>
      </c>
      <c r="D336">
        <v>2155358</v>
      </c>
      <c r="E336" s="3">
        <v>716029</v>
      </c>
      <c r="F336" s="3">
        <v>34568.6</v>
      </c>
      <c r="G336" s="3">
        <v>31850.369064133014</v>
      </c>
      <c r="H336" s="10">
        <v>2718.2309358669845</v>
      </c>
      <c r="I336" s="10">
        <f t="shared" si="30"/>
        <v>2718.2309358669845</v>
      </c>
      <c r="J336" s="10">
        <f t="shared" si="29"/>
        <v>2718.2309358669845</v>
      </c>
      <c r="K336">
        <v>30</v>
      </c>
      <c r="M336" t="str">
        <f>VLOOKUP(C336,Lookup!B:C,2,0)</f>
        <v>San Pablo</v>
      </c>
    </row>
    <row r="337" spans="2:13">
      <c r="B337" s="50">
        <f t="shared" si="28"/>
        <v>45991</v>
      </c>
      <c r="C337">
        <v>3104105</v>
      </c>
      <c r="D337">
        <v>2155359</v>
      </c>
      <c r="E337" s="3">
        <v>499808</v>
      </c>
      <c r="F337" s="3">
        <v>32755.5</v>
      </c>
      <c r="G337" s="3">
        <v>30089.939464133015</v>
      </c>
      <c r="H337" s="10">
        <v>2665.560535866985</v>
      </c>
      <c r="I337" s="10">
        <f t="shared" si="30"/>
        <v>2665.560535866985</v>
      </c>
      <c r="J337" s="10">
        <f t="shared" si="29"/>
        <v>2665.560535866985</v>
      </c>
      <c r="K337">
        <v>30</v>
      </c>
      <c r="M337" t="str">
        <f>VLOOKUP(C337,Lookup!B:C,2,0)</f>
        <v>San Pablo</v>
      </c>
    </row>
    <row r="338" spans="2:13">
      <c r="B338" s="50">
        <f t="shared" si="28"/>
        <v>45991</v>
      </c>
      <c r="C338">
        <v>3104105</v>
      </c>
      <c r="D338">
        <v>2155360</v>
      </c>
      <c r="E338" s="3">
        <v>725984</v>
      </c>
      <c r="F338" s="3">
        <v>49341.13</v>
      </c>
      <c r="G338" s="3">
        <v>45268.181464133013</v>
      </c>
      <c r="H338" s="10">
        <v>4072.9485358669845</v>
      </c>
      <c r="I338" s="10">
        <f t="shared" si="30"/>
        <v>4072.9485358669845</v>
      </c>
      <c r="J338" s="10">
        <f t="shared" si="29"/>
        <v>4072.9485358669845</v>
      </c>
      <c r="K338">
        <v>30</v>
      </c>
      <c r="M338" t="str">
        <f>VLOOKUP(C338,Lookup!B:C,2,0)</f>
        <v>San Pablo</v>
      </c>
    </row>
    <row r="339" spans="2:13">
      <c r="B339" s="50">
        <f t="shared" si="28"/>
        <v>45991</v>
      </c>
      <c r="C339">
        <v>3104105</v>
      </c>
      <c r="D339">
        <v>2155361</v>
      </c>
      <c r="E339" s="3">
        <v>668060</v>
      </c>
      <c r="F339" s="3">
        <v>27966.54</v>
      </c>
      <c r="G339" s="3">
        <v>25790.490664133016</v>
      </c>
      <c r="H339" s="10">
        <v>2176.0493358669846</v>
      </c>
      <c r="I339" s="10">
        <f t="shared" si="30"/>
        <v>2176.0493358669846</v>
      </c>
      <c r="J339" s="10">
        <f t="shared" si="29"/>
        <v>2176.0493358669846</v>
      </c>
      <c r="K339">
        <v>30</v>
      </c>
      <c r="M339" t="str">
        <f>VLOOKUP(C339,Lookup!B:C,2,0)</f>
        <v>San Pablo</v>
      </c>
    </row>
    <row r="340" spans="2:13">
      <c r="B340" s="50">
        <f t="shared" si="28"/>
        <v>45991</v>
      </c>
      <c r="C340">
        <v>3104105</v>
      </c>
      <c r="D340">
        <v>2155362</v>
      </c>
      <c r="E340" s="3">
        <v>1635727</v>
      </c>
      <c r="F340" s="3">
        <v>37004.370000000003</v>
      </c>
      <c r="G340" s="3">
        <v>34248.002264133014</v>
      </c>
      <c r="H340" s="10">
        <v>2756.3677358669847</v>
      </c>
      <c r="I340" s="10">
        <f t="shared" si="30"/>
        <v>2756.3677358669847</v>
      </c>
      <c r="J340" s="10">
        <f t="shared" si="29"/>
        <v>2756.3677358669847</v>
      </c>
      <c r="K340">
        <v>30</v>
      </c>
      <c r="M340" t="str">
        <f>VLOOKUP(C340,Lookup!B:C,2,0)</f>
        <v>San Pablo</v>
      </c>
    </row>
    <row r="341" spans="2:13">
      <c r="B341" s="50">
        <f t="shared" si="28"/>
        <v>45991</v>
      </c>
      <c r="C341">
        <v>3104105</v>
      </c>
      <c r="D341">
        <v>2155363</v>
      </c>
      <c r="E341" s="3">
        <v>777676</v>
      </c>
      <c r="F341" s="3">
        <v>40254.6</v>
      </c>
      <c r="G341" s="3">
        <v>37136.05946413301</v>
      </c>
      <c r="H341" s="10">
        <v>3118.540535866985</v>
      </c>
      <c r="I341" s="10">
        <f t="shared" si="30"/>
        <v>3118.540535866985</v>
      </c>
      <c r="J341" s="10">
        <f t="shared" si="29"/>
        <v>3118.540535866985</v>
      </c>
      <c r="K341">
        <v>30</v>
      </c>
      <c r="M341" t="str">
        <f>VLOOKUP(C341,Lookup!B:C,2,0)</f>
        <v>San Pablo</v>
      </c>
    </row>
    <row r="342" spans="2:13">
      <c r="B342" s="50">
        <f t="shared" si="28"/>
        <v>45991</v>
      </c>
      <c r="C342">
        <v>3104105</v>
      </c>
      <c r="D342">
        <v>2155364</v>
      </c>
      <c r="E342" s="3">
        <v>759300</v>
      </c>
      <c r="F342" s="3">
        <v>48116.99</v>
      </c>
      <c r="G342" s="3">
        <v>44342.432664133012</v>
      </c>
      <c r="H342" s="10">
        <v>3774.5573358669849</v>
      </c>
      <c r="I342" s="10">
        <f t="shared" si="30"/>
        <v>3774.5573358669849</v>
      </c>
      <c r="J342" s="10">
        <f t="shared" si="29"/>
        <v>3774.5573358669849</v>
      </c>
      <c r="K342">
        <v>30</v>
      </c>
      <c r="M342" t="str">
        <f>VLOOKUP(C342,Lookup!B:C,2,0)</f>
        <v>San Pablo</v>
      </c>
    </row>
    <row r="343" spans="2:13">
      <c r="B343" s="50">
        <f t="shared" si="28"/>
        <v>45991</v>
      </c>
      <c r="C343">
        <v>3104105</v>
      </c>
      <c r="D343">
        <v>2155365</v>
      </c>
      <c r="E343" s="3">
        <v>375090</v>
      </c>
      <c r="F343" s="3">
        <v>22120.01</v>
      </c>
      <c r="G343" s="3">
        <v>20408.863064133013</v>
      </c>
      <c r="H343" s="10">
        <v>1711.1469358669847</v>
      </c>
      <c r="I343" s="10">
        <f t="shared" si="30"/>
        <v>1711.1469358669847</v>
      </c>
      <c r="J343" s="10">
        <f t="shared" si="29"/>
        <v>1711.1469358669847</v>
      </c>
      <c r="K343">
        <v>30</v>
      </c>
      <c r="M343" t="str">
        <f>VLOOKUP(C343,Lookup!B:C,2,0)</f>
        <v>San Pablo</v>
      </c>
    </row>
    <row r="344" spans="2:13">
      <c r="B344" s="50">
        <f t="shared" si="28"/>
        <v>45991</v>
      </c>
      <c r="C344">
        <v>3104105</v>
      </c>
      <c r="D344">
        <v>2155366</v>
      </c>
      <c r="E344" s="3">
        <v>745747</v>
      </c>
      <c r="F344" s="3">
        <v>36053.839999999997</v>
      </c>
      <c r="G344" s="3">
        <v>33226.048264133009</v>
      </c>
      <c r="H344" s="10">
        <v>2827.7917358669847</v>
      </c>
      <c r="I344" s="10">
        <f t="shared" si="30"/>
        <v>2827.7917358669847</v>
      </c>
      <c r="J344" s="10">
        <f t="shared" si="29"/>
        <v>2827.7917358669847</v>
      </c>
      <c r="K344">
        <v>30</v>
      </c>
      <c r="M344" t="str">
        <f>VLOOKUP(C344,Lookup!B:C,2,0)</f>
        <v>San Pablo</v>
      </c>
    </row>
    <row r="345" spans="2:13">
      <c r="B345" s="50">
        <f t="shared" si="28"/>
        <v>45991</v>
      </c>
      <c r="C345">
        <v>3104105</v>
      </c>
      <c r="D345">
        <v>2155367</v>
      </c>
      <c r="E345" s="3">
        <v>820689</v>
      </c>
      <c r="F345" s="3">
        <v>41317.46</v>
      </c>
      <c r="G345" s="3">
        <v>38065.353064133014</v>
      </c>
      <c r="H345" s="10">
        <v>3252.1069358669843</v>
      </c>
      <c r="I345" s="10">
        <f t="shared" si="30"/>
        <v>3252.1069358669843</v>
      </c>
      <c r="J345" s="10">
        <f t="shared" si="29"/>
        <v>3252.1069358669843</v>
      </c>
      <c r="K345">
        <v>30</v>
      </c>
      <c r="M345" t="str">
        <f>VLOOKUP(C345,Lookup!B:C,2,0)</f>
        <v>San Pablo</v>
      </c>
    </row>
    <row r="346" spans="2:13">
      <c r="B346" s="50">
        <f t="shared" si="28"/>
        <v>45991</v>
      </c>
      <c r="C346">
        <v>3104105</v>
      </c>
      <c r="D346">
        <v>2155368</v>
      </c>
      <c r="E346" s="3">
        <v>829326</v>
      </c>
      <c r="F346" s="3">
        <v>43583.24</v>
      </c>
      <c r="G346" s="3">
        <v>39913.113064133016</v>
      </c>
      <c r="H346" s="10">
        <v>3670.1269358669842</v>
      </c>
      <c r="I346" s="10">
        <f t="shared" si="30"/>
        <v>3670.1269358669842</v>
      </c>
      <c r="J346" s="10">
        <f t="shared" si="29"/>
        <v>3670.1269358669842</v>
      </c>
      <c r="K346">
        <v>30</v>
      </c>
      <c r="M346" t="str">
        <f>VLOOKUP(C346,Lookup!B:C,2,0)</f>
        <v>San Pablo</v>
      </c>
    </row>
    <row r="347" spans="2:13">
      <c r="B347" s="50">
        <f t="shared" si="28"/>
        <v>45991</v>
      </c>
      <c r="C347">
        <v>3104105</v>
      </c>
      <c r="D347">
        <v>2177045</v>
      </c>
      <c r="E347" s="3">
        <v>283986</v>
      </c>
      <c r="F347" s="3">
        <v>25385.99</v>
      </c>
      <c r="G347" s="3">
        <v>23424.202264133019</v>
      </c>
      <c r="H347" s="10">
        <v>1961.7877358669846</v>
      </c>
      <c r="I347" s="10">
        <f t="shared" si="30"/>
        <v>1961.7877358669846</v>
      </c>
      <c r="J347" s="10">
        <f t="shared" si="29"/>
        <v>1961.7877358669846</v>
      </c>
      <c r="K347">
        <v>30</v>
      </c>
      <c r="M347" t="str">
        <f>VLOOKUP(C347,Lookup!B:C,2,0)</f>
        <v>San Pablo</v>
      </c>
    </row>
    <row r="348" spans="2:13">
      <c r="B348" s="50">
        <f t="shared" si="28"/>
        <v>45991</v>
      </c>
      <c r="C348">
        <v>3104105</v>
      </c>
      <c r="D348">
        <v>2177046</v>
      </c>
      <c r="E348" s="3">
        <v>289685.40000000002</v>
      </c>
      <c r="F348" s="3">
        <v>31970.16</v>
      </c>
      <c r="G348" s="3">
        <v>29447.533864133016</v>
      </c>
      <c r="H348" s="10">
        <v>2522.6261358669844</v>
      </c>
      <c r="I348" s="10">
        <f t="shared" si="30"/>
        <v>2522.6261358669844</v>
      </c>
      <c r="J348" s="10">
        <f t="shared" si="29"/>
        <v>2522.6261358669844</v>
      </c>
      <c r="K348">
        <v>30</v>
      </c>
      <c r="M348" t="str">
        <f>VLOOKUP(C348,Lookup!B:C,2,0)</f>
        <v>San Pablo</v>
      </c>
    </row>
    <row r="349" spans="2:13">
      <c r="B349" s="50">
        <f t="shared" si="28"/>
        <v>45991</v>
      </c>
      <c r="C349">
        <v>3104105</v>
      </c>
      <c r="D349">
        <v>2182158</v>
      </c>
      <c r="E349" s="3">
        <v>275907</v>
      </c>
      <c r="F349" s="3">
        <v>33077.599999999999</v>
      </c>
      <c r="G349" s="3">
        <v>30473.781064133014</v>
      </c>
      <c r="H349" s="10">
        <v>2603.8189358669847</v>
      </c>
      <c r="I349" s="10">
        <f t="shared" si="30"/>
        <v>2603.8189358669847</v>
      </c>
      <c r="J349" s="10">
        <f t="shared" si="29"/>
        <v>2603.8189358669847</v>
      </c>
      <c r="K349">
        <v>30</v>
      </c>
      <c r="M349" t="str">
        <f>VLOOKUP(C349,Lookup!B:C,2,0)</f>
        <v>San Pablo</v>
      </c>
    </row>
    <row r="350" spans="2:13">
      <c r="B350" s="50">
        <f t="shared" si="28"/>
        <v>45991</v>
      </c>
      <c r="C350">
        <v>3104105</v>
      </c>
      <c r="D350">
        <v>2182159</v>
      </c>
      <c r="E350" s="3">
        <v>183663.6</v>
      </c>
      <c r="F350" s="3">
        <v>22864.71</v>
      </c>
      <c r="G350" s="3">
        <v>21083.610264133014</v>
      </c>
      <c r="H350" s="10">
        <v>1781.0997358669847</v>
      </c>
      <c r="I350" s="10">
        <f t="shared" si="30"/>
        <v>1781.0997358669847</v>
      </c>
      <c r="J350" s="10">
        <f t="shared" si="29"/>
        <v>1781.0997358669847</v>
      </c>
      <c r="K350">
        <v>30</v>
      </c>
      <c r="M350" t="str">
        <f>VLOOKUP(C350,Lookup!B:C,2,0)</f>
        <v>San Pablo</v>
      </c>
    </row>
    <row r="351" spans="2:13">
      <c r="B351" s="50">
        <f t="shared" si="28"/>
        <v>45991</v>
      </c>
      <c r="C351">
        <v>3104105</v>
      </c>
      <c r="D351">
        <v>2188600</v>
      </c>
      <c r="E351" s="3">
        <v>699415</v>
      </c>
      <c r="F351" s="3">
        <v>-28379.9</v>
      </c>
      <c r="G351" s="3">
        <v>-26085.300535866987</v>
      </c>
      <c r="H351" s="10">
        <v>-2294.5994641330158</v>
      </c>
      <c r="I351" s="10">
        <f t="shared" si="30"/>
        <v>-2294.5994641330158</v>
      </c>
      <c r="J351" s="10">
        <f t="shared" si="29"/>
        <v>-2294.5994641330158</v>
      </c>
      <c r="K351">
        <v>30</v>
      </c>
      <c r="M351" t="str">
        <f>VLOOKUP(C351,Lookup!B:C,2,0)</f>
        <v>San Pablo</v>
      </c>
    </row>
    <row r="352" spans="2:13">
      <c r="B352" s="50">
        <f t="shared" si="28"/>
        <v>45991</v>
      </c>
      <c r="C352">
        <v>3104105</v>
      </c>
      <c r="D352">
        <v>2188872</v>
      </c>
      <c r="E352" s="3">
        <v>333191.40000000002</v>
      </c>
      <c r="F352" s="3">
        <v>37859.870000000003</v>
      </c>
      <c r="G352" s="3">
        <v>34874.469464133021</v>
      </c>
      <c r="H352" s="10">
        <v>2985.4005358669847</v>
      </c>
      <c r="I352" s="10">
        <f t="shared" si="30"/>
        <v>2985.4005358669847</v>
      </c>
      <c r="J352" s="10">
        <f t="shared" si="29"/>
        <v>2985.4005358669847</v>
      </c>
      <c r="K352">
        <v>30</v>
      </c>
      <c r="M352" t="str">
        <f>VLOOKUP(C352,Lookup!B:C,2,0)</f>
        <v>San Pablo</v>
      </c>
    </row>
    <row r="353" spans="2:13">
      <c r="B353" s="50">
        <f t="shared" si="28"/>
        <v>45991</v>
      </c>
      <c r="C353">
        <v>3104105</v>
      </c>
      <c r="D353">
        <v>2188873</v>
      </c>
      <c r="E353" s="3">
        <v>340420.2</v>
      </c>
      <c r="F353" s="3">
        <v>26504.25</v>
      </c>
      <c r="G353" s="3">
        <v>24411.230264133017</v>
      </c>
      <c r="H353" s="10">
        <v>2093.0197358669848</v>
      </c>
      <c r="I353" s="10">
        <f t="shared" si="30"/>
        <v>2093.0197358669848</v>
      </c>
      <c r="J353" s="10">
        <f t="shared" si="29"/>
        <v>2093.0197358669848</v>
      </c>
      <c r="K353">
        <v>30</v>
      </c>
      <c r="M353" t="str">
        <f>VLOOKUP(C353,Lookup!B:C,2,0)</f>
        <v>San Pablo</v>
      </c>
    </row>
    <row r="354" spans="2:13">
      <c r="B354" s="50">
        <f t="shared" si="28"/>
        <v>45991</v>
      </c>
      <c r="C354">
        <v>3104105</v>
      </c>
      <c r="D354">
        <v>2188874</v>
      </c>
      <c r="E354" s="3">
        <v>296668.2</v>
      </c>
      <c r="F354" s="3">
        <v>35986.370000000003</v>
      </c>
      <c r="G354" s="3">
        <v>33171.511064133017</v>
      </c>
      <c r="H354" s="10">
        <v>2814.8589358669847</v>
      </c>
      <c r="I354" s="10">
        <f t="shared" si="30"/>
        <v>2814.8589358669847</v>
      </c>
      <c r="J354" s="10">
        <f t="shared" si="29"/>
        <v>2814.8589358669847</v>
      </c>
      <c r="K354">
        <v>30</v>
      </c>
      <c r="M354" t="str">
        <f>VLOOKUP(C354,Lookup!B:C,2,0)</f>
        <v>San Pablo</v>
      </c>
    </row>
    <row r="355" spans="2:13">
      <c r="B355" s="50">
        <f t="shared" si="28"/>
        <v>45991</v>
      </c>
      <c r="C355">
        <v>3104105</v>
      </c>
      <c r="D355">
        <v>2188880</v>
      </c>
      <c r="E355" s="3">
        <v>330353</v>
      </c>
      <c r="F355" s="3">
        <v>31262.68</v>
      </c>
      <c r="G355" s="3">
        <v>28803.483464133016</v>
      </c>
      <c r="H355" s="10">
        <v>2459.1965358669845</v>
      </c>
      <c r="I355" s="10">
        <f t="shared" si="30"/>
        <v>2459.1965358669845</v>
      </c>
      <c r="J355" s="10">
        <f t="shared" si="29"/>
        <v>2459.1965358669845</v>
      </c>
      <c r="K355">
        <v>30</v>
      </c>
      <c r="M355" t="str">
        <f>VLOOKUP(C355,Lookup!B:C,2,0)</f>
        <v>San Pablo</v>
      </c>
    </row>
    <row r="356" spans="2:13">
      <c r="B356" s="50">
        <f t="shared" si="28"/>
        <v>45991</v>
      </c>
      <c r="C356">
        <v>3104105</v>
      </c>
      <c r="D356">
        <v>2194673</v>
      </c>
      <c r="E356" s="3">
        <v>64572</v>
      </c>
      <c r="F356" s="3">
        <v>5735.12</v>
      </c>
      <c r="G356" s="3">
        <v>5165.1154641330149</v>
      </c>
      <c r="H356" s="10">
        <v>570.00453586698461</v>
      </c>
      <c r="I356" s="10">
        <f t="shared" si="30"/>
        <v>570.00453586698461</v>
      </c>
      <c r="J356" s="10">
        <f t="shared" si="29"/>
        <v>570.00453586698461</v>
      </c>
      <c r="K356">
        <v>3</v>
      </c>
      <c r="M356" t="str">
        <f>VLOOKUP(C356,Lookup!B:C,2,0)</f>
        <v>San Pablo</v>
      </c>
    </row>
    <row r="357" spans="2:13">
      <c r="B357" s="50">
        <f t="shared" si="28"/>
        <v>45991</v>
      </c>
      <c r="C357">
        <v>3104105</v>
      </c>
      <c r="D357">
        <v>2194674</v>
      </c>
      <c r="E357" s="3">
        <v>62255</v>
      </c>
      <c r="F357" s="3">
        <v>3178.62</v>
      </c>
      <c r="G357" s="3">
        <v>2916.8298641330152</v>
      </c>
      <c r="H357" s="10">
        <v>261.7901358669846</v>
      </c>
      <c r="I357" s="10">
        <f t="shared" si="30"/>
        <v>261.7901358669846</v>
      </c>
      <c r="J357" s="10">
        <f t="shared" si="29"/>
        <v>261.7901358669846</v>
      </c>
      <c r="K357">
        <v>3</v>
      </c>
      <c r="M357" t="str">
        <f>VLOOKUP(C357,Lookup!B:C,2,0)</f>
        <v>San Pablo</v>
      </c>
    </row>
    <row r="358" spans="2:13">
      <c r="B358" s="50">
        <f t="shared" si="28"/>
        <v>45991</v>
      </c>
      <c r="C358">
        <v>3104105</v>
      </c>
      <c r="D358">
        <v>2194675</v>
      </c>
      <c r="E358" s="3">
        <v>81927</v>
      </c>
      <c r="F358" s="3">
        <v>4117.76</v>
      </c>
      <c r="G358" s="3">
        <v>3684.6002641330156</v>
      </c>
      <c r="H358" s="10">
        <v>433.15973586698465</v>
      </c>
      <c r="I358" s="10">
        <f t="shared" si="30"/>
        <v>433.15973586698465</v>
      </c>
      <c r="J358" s="10">
        <f t="shared" si="29"/>
        <v>433.15973586698465</v>
      </c>
      <c r="K358">
        <v>3</v>
      </c>
      <c r="M358" t="str">
        <f>VLOOKUP(C358,Lookup!B:C,2,0)</f>
        <v>San Pablo</v>
      </c>
    </row>
    <row r="359" spans="2:13">
      <c r="B359" s="50">
        <f t="shared" si="28"/>
        <v>45991</v>
      </c>
      <c r="C359">
        <v>3104105</v>
      </c>
      <c r="D359">
        <v>2194676</v>
      </c>
      <c r="E359" s="3">
        <v>67806</v>
      </c>
      <c r="F359" s="3">
        <v>1235.7</v>
      </c>
      <c r="G359" s="3">
        <v>1109.4674641330155</v>
      </c>
      <c r="H359" s="10">
        <v>126.23253586698461</v>
      </c>
      <c r="I359" s="10">
        <f t="shared" si="30"/>
        <v>126.23253586698461</v>
      </c>
      <c r="J359" s="10">
        <f t="shared" si="29"/>
        <v>126.23253586698461</v>
      </c>
      <c r="K359">
        <v>3</v>
      </c>
      <c r="M359" t="str">
        <f>VLOOKUP(C359,Lookup!B:C,2,0)</f>
        <v>San Pablo</v>
      </c>
    </row>
    <row r="360" spans="2:13">
      <c r="B360" s="50">
        <f t="shared" si="28"/>
        <v>45991</v>
      </c>
      <c r="C360">
        <v>3104105</v>
      </c>
      <c r="D360">
        <v>2194677</v>
      </c>
      <c r="E360" s="3">
        <v>65988</v>
      </c>
      <c r="F360" s="3">
        <v>-631.650000000001</v>
      </c>
      <c r="G360" s="3">
        <v>-743.42093586698559</v>
      </c>
      <c r="H360" s="10">
        <v>111.7709358669846</v>
      </c>
      <c r="I360" s="10">
        <f t="shared" si="30"/>
        <v>111.7709358669846</v>
      </c>
      <c r="J360" s="10">
        <f t="shared" si="29"/>
        <v>111.7709358669846</v>
      </c>
      <c r="K360">
        <v>3</v>
      </c>
      <c r="M360" t="str">
        <f>VLOOKUP(C360,Lookup!B:C,2,0)</f>
        <v>San Pablo</v>
      </c>
    </row>
    <row r="361" spans="2:13">
      <c r="B361" s="50">
        <f t="shared" si="28"/>
        <v>45991</v>
      </c>
      <c r="C361">
        <v>3104105</v>
      </c>
      <c r="D361">
        <v>2194678</v>
      </c>
      <c r="E361" s="3">
        <v>66391</v>
      </c>
      <c r="F361" s="3">
        <v>-655.61999999999898</v>
      </c>
      <c r="G361" s="3">
        <v>-807.7069358669836</v>
      </c>
      <c r="H361" s="10">
        <v>152.08693586698462</v>
      </c>
      <c r="I361" s="10">
        <f t="shared" si="30"/>
        <v>152.08693586698462</v>
      </c>
      <c r="J361" s="10">
        <f t="shared" si="29"/>
        <v>152.08693586698462</v>
      </c>
      <c r="K361">
        <v>3</v>
      </c>
      <c r="M361" t="str">
        <f>VLOOKUP(C361,Lookup!B:C,2,0)</f>
        <v>San Pablo</v>
      </c>
    </row>
    <row r="362" spans="2:13">
      <c r="B362" s="50">
        <f t="shared" si="28"/>
        <v>45991</v>
      </c>
      <c r="C362">
        <v>3104105</v>
      </c>
      <c r="D362">
        <v>2207995</v>
      </c>
      <c r="E362" s="3">
        <v>360458.25</v>
      </c>
      <c r="F362" s="3">
        <v>30430.639999999999</v>
      </c>
      <c r="G362" s="3">
        <v>28074.721864133015</v>
      </c>
      <c r="H362" s="10">
        <v>2355.9181358669848</v>
      </c>
      <c r="I362" s="10">
        <f t="shared" si="30"/>
        <v>2355.9181358669848</v>
      </c>
      <c r="J362" s="10">
        <f t="shared" si="29"/>
        <v>2355.9181358669848</v>
      </c>
      <c r="K362">
        <v>30</v>
      </c>
      <c r="M362" t="str">
        <f>VLOOKUP(C362,Lookup!B:C,2,0)</f>
        <v>San Pablo</v>
      </c>
    </row>
    <row r="363" spans="2:13">
      <c r="B363" s="50">
        <f t="shared" si="28"/>
        <v>45991</v>
      </c>
      <c r="C363">
        <v>3104105</v>
      </c>
      <c r="D363">
        <v>2208005</v>
      </c>
      <c r="E363" s="3">
        <v>306308</v>
      </c>
      <c r="F363" s="3">
        <v>24708.12</v>
      </c>
      <c r="G363" s="3">
        <v>22796.974664133013</v>
      </c>
      <c r="H363" s="10">
        <v>1911.1453358669846</v>
      </c>
      <c r="I363" s="10">
        <f t="shared" si="30"/>
        <v>1911.1453358669846</v>
      </c>
      <c r="J363" s="10">
        <f t="shared" si="29"/>
        <v>1911.1453358669846</v>
      </c>
      <c r="K363">
        <v>30</v>
      </c>
      <c r="M363" t="str">
        <f>VLOOKUP(C363,Lookup!B:C,2,0)</f>
        <v>San Pablo</v>
      </c>
    </row>
    <row r="364" spans="2:13">
      <c r="B364" s="50">
        <f t="shared" si="28"/>
        <v>45991</v>
      </c>
      <c r="C364">
        <v>3104105</v>
      </c>
      <c r="D364">
        <v>2211723</v>
      </c>
      <c r="E364" s="3">
        <v>297843</v>
      </c>
      <c r="F364" s="3">
        <v>28712.92</v>
      </c>
      <c r="G364" s="3">
        <v>26472.044264133016</v>
      </c>
      <c r="H364" s="10">
        <v>2240.8757358669845</v>
      </c>
      <c r="I364" s="10">
        <f t="shared" si="30"/>
        <v>2240.8757358669845</v>
      </c>
      <c r="J364" s="10">
        <f t="shared" si="29"/>
        <v>2240.8757358669845</v>
      </c>
      <c r="K364">
        <v>30</v>
      </c>
      <c r="M364" t="str">
        <f>VLOOKUP(C364,Lookup!B:C,2,0)</f>
        <v>San Pablo</v>
      </c>
    </row>
    <row r="365" spans="2:13">
      <c r="B365" s="50">
        <f t="shared" si="28"/>
        <v>45991</v>
      </c>
      <c r="C365">
        <v>3104105</v>
      </c>
      <c r="D365">
        <v>2211724</v>
      </c>
      <c r="E365" s="3">
        <v>380379.75</v>
      </c>
      <c r="F365" s="3">
        <v>34527.22</v>
      </c>
      <c r="G365" s="3">
        <v>31827.493064133017</v>
      </c>
      <c r="H365" s="10">
        <v>2699.7269358669846</v>
      </c>
      <c r="I365" s="10">
        <f t="shared" si="30"/>
        <v>2699.7269358669846</v>
      </c>
      <c r="J365" s="10">
        <f t="shared" si="29"/>
        <v>2699.7269358669846</v>
      </c>
      <c r="K365">
        <v>30</v>
      </c>
      <c r="M365" t="str">
        <f>VLOOKUP(C365,Lookup!B:C,2,0)</f>
        <v>San Pablo</v>
      </c>
    </row>
    <row r="366" spans="2:13">
      <c r="B366" s="50">
        <f t="shared" si="28"/>
        <v>45991</v>
      </c>
      <c r="C366">
        <v>3104105</v>
      </c>
      <c r="D366">
        <v>2211729</v>
      </c>
      <c r="E366" s="3">
        <v>305988.25</v>
      </c>
      <c r="F366" s="3">
        <v>24949.33</v>
      </c>
      <c r="G366" s="3">
        <v>22981.057464133017</v>
      </c>
      <c r="H366" s="10">
        <v>1968.2725358669848</v>
      </c>
      <c r="I366" s="10">
        <f t="shared" si="30"/>
        <v>1968.2725358669848</v>
      </c>
      <c r="J366" s="10">
        <f t="shared" si="29"/>
        <v>1968.2725358669848</v>
      </c>
      <c r="K366">
        <v>30</v>
      </c>
      <c r="M366" t="str">
        <f>VLOOKUP(C366,Lookup!B:C,2,0)</f>
        <v>San Pablo</v>
      </c>
    </row>
    <row r="367" spans="2:13">
      <c r="B367" s="50">
        <f t="shared" si="28"/>
        <v>45991</v>
      </c>
      <c r="C367">
        <v>3104105</v>
      </c>
      <c r="D367">
        <v>2219573</v>
      </c>
      <c r="E367" s="3">
        <v>795869.5</v>
      </c>
      <c r="F367" s="3">
        <v>55828.47</v>
      </c>
      <c r="G367" s="3">
        <v>51378.634264133019</v>
      </c>
      <c r="H367" s="10">
        <v>4449.8357358669846</v>
      </c>
      <c r="I367" s="10">
        <f t="shared" si="30"/>
        <v>4449.8357358669846</v>
      </c>
      <c r="J367" s="10">
        <f t="shared" si="29"/>
        <v>4449.8357358669846</v>
      </c>
      <c r="K367">
        <v>30</v>
      </c>
      <c r="M367" t="str">
        <f>VLOOKUP(C367,Lookup!B:C,2,0)</f>
        <v>San Pablo</v>
      </c>
    </row>
    <row r="368" spans="2:13">
      <c r="B368" s="50">
        <f t="shared" si="28"/>
        <v>45991</v>
      </c>
      <c r="C368">
        <v>3104105</v>
      </c>
      <c r="D368">
        <v>2219575</v>
      </c>
      <c r="E368" s="3">
        <v>560856</v>
      </c>
      <c r="F368" s="3">
        <v>25736.13</v>
      </c>
      <c r="G368" s="3">
        <v>23729.904664133017</v>
      </c>
      <c r="H368" s="10">
        <v>2006.2253358669846</v>
      </c>
      <c r="I368" s="10">
        <f t="shared" si="30"/>
        <v>2006.2253358669846</v>
      </c>
      <c r="J368" s="10">
        <f t="shared" si="29"/>
        <v>2006.2253358669846</v>
      </c>
      <c r="K368">
        <v>30</v>
      </c>
      <c r="M368" t="str">
        <f>VLOOKUP(C368,Lookup!B:C,2,0)</f>
        <v>San Pablo</v>
      </c>
    </row>
    <row r="369" spans="2:13">
      <c r="B369" s="50">
        <f t="shared" si="28"/>
        <v>45991</v>
      </c>
      <c r="C369">
        <v>3104105</v>
      </c>
      <c r="D369">
        <v>2219576</v>
      </c>
      <c r="E369" s="3">
        <v>588615</v>
      </c>
      <c r="F369" s="3">
        <v>31103.03</v>
      </c>
      <c r="G369" s="3">
        <v>28655.952664133016</v>
      </c>
      <c r="H369" s="10">
        <v>2447.0773358669849</v>
      </c>
      <c r="I369" s="10">
        <f t="shared" si="30"/>
        <v>2447.0773358669849</v>
      </c>
      <c r="J369" s="10">
        <f t="shared" si="29"/>
        <v>2447.0773358669849</v>
      </c>
      <c r="K369">
        <v>30</v>
      </c>
      <c r="M369" t="str">
        <f>VLOOKUP(C369,Lookup!B:C,2,0)</f>
        <v>San Pablo</v>
      </c>
    </row>
    <row r="370" spans="2:13">
      <c r="B370" s="50">
        <f t="shared" si="28"/>
        <v>45991</v>
      </c>
      <c r="C370">
        <v>3104105</v>
      </c>
      <c r="D370">
        <v>2219577</v>
      </c>
      <c r="E370" s="3">
        <v>507094</v>
      </c>
      <c r="F370" s="3">
        <v>11008.57</v>
      </c>
      <c r="G370" s="3">
        <v>10157.933464133015</v>
      </c>
      <c r="H370" s="10">
        <v>850.63653586698456</v>
      </c>
      <c r="I370" s="10">
        <f t="shared" si="30"/>
        <v>850.63653586698456</v>
      </c>
      <c r="J370" s="10">
        <f t="shared" si="29"/>
        <v>850.63653586698456</v>
      </c>
      <c r="K370">
        <v>30</v>
      </c>
      <c r="M370" t="str">
        <f>VLOOKUP(C370,Lookup!B:C,2,0)</f>
        <v>San Pablo</v>
      </c>
    </row>
    <row r="371" spans="2:13">
      <c r="B371" s="50">
        <f t="shared" si="28"/>
        <v>45991</v>
      </c>
      <c r="C371">
        <v>3104105</v>
      </c>
      <c r="D371">
        <v>2219578</v>
      </c>
      <c r="E371" s="3">
        <v>1298662</v>
      </c>
      <c r="F371" s="3">
        <v>16830.53</v>
      </c>
      <c r="G371" s="3">
        <v>15546.658264133013</v>
      </c>
      <c r="H371" s="10">
        <v>1283.8717358669849</v>
      </c>
      <c r="I371" s="10">
        <f t="shared" si="30"/>
        <v>1283.8717358669849</v>
      </c>
      <c r="J371" s="10">
        <f t="shared" si="29"/>
        <v>1283.8717358669849</v>
      </c>
      <c r="K371">
        <v>30</v>
      </c>
      <c r="M371" t="str">
        <f>VLOOKUP(C371,Lookup!B:C,2,0)</f>
        <v>San Pablo</v>
      </c>
    </row>
    <row r="372" spans="2:13">
      <c r="B372" s="50">
        <f t="shared" si="28"/>
        <v>45991</v>
      </c>
      <c r="C372">
        <v>3104105</v>
      </c>
      <c r="D372">
        <v>2219579</v>
      </c>
      <c r="E372" s="3">
        <v>673503</v>
      </c>
      <c r="F372" s="3">
        <v>32375.07</v>
      </c>
      <c r="G372" s="3">
        <v>29618.777464133014</v>
      </c>
      <c r="H372" s="10">
        <v>2756.2925358669845</v>
      </c>
      <c r="I372" s="10">
        <f t="shared" si="30"/>
        <v>2756.2925358669845</v>
      </c>
      <c r="J372" s="10">
        <f t="shared" si="29"/>
        <v>2756.2925358669845</v>
      </c>
      <c r="K372">
        <v>30</v>
      </c>
      <c r="M372" t="str">
        <f>VLOOKUP(C372,Lookup!B:C,2,0)</f>
        <v>San Pablo</v>
      </c>
    </row>
    <row r="373" spans="2:13">
      <c r="B373" s="50">
        <f t="shared" si="28"/>
        <v>45991</v>
      </c>
      <c r="C373">
        <v>3104105</v>
      </c>
      <c r="D373">
        <v>2219580</v>
      </c>
      <c r="E373" s="3">
        <v>264915</v>
      </c>
      <c r="F373" s="3">
        <v>18202.689999999999</v>
      </c>
      <c r="G373" s="3">
        <v>16838.210264133013</v>
      </c>
      <c r="H373" s="10">
        <v>1364.4797358669846</v>
      </c>
      <c r="I373" s="10">
        <f t="shared" si="30"/>
        <v>1364.4797358669846</v>
      </c>
      <c r="J373" s="10">
        <f t="shared" si="29"/>
        <v>1364.4797358669846</v>
      </c>
      <c r="K373">
        <v>30</v>
      </c>
      <c r="M373" t="str">
        <f>VLOOKUP(C373,Lookup!B:C,2,0)</f>
        <v>San Pablo</v>
      </c>
    </row>
    <row r="374" spans="2:13">
      <c r="B374" s="50">
        <f t="shared" si="28"/>
        <v>45991</v>
      </c>
      <c r="C374">
        <v>3104105</v>
      </c>
      <c r="D374">
        <v>2219581</v>
      </c>
      <c r="E374" s="3">
        <v>337345</v>
      </c>
      <c r="F374" s="3">
        <v>24116.06</v>
      </c>
      <c r="G374" s="3">
        <v>22281.049864133016</v>
      </c>
      <c r="H374" s="10">
        <v>1835.0101358669847</v>
      </c>
      <c r="I374" s="10">
        <f t="shared" si="30"/>
        <v>1835.0101358669847</v>
      </c>
      <c r="J374" s="10">
        <f t="shared" si="29"/>
        <v>1835.0101358669847</v>
      </c>
      <c r="K374">
        <v>30</v>
      </c>
      <c r="M374" t="str">
        <f>VLOOKUP(C374,Lookup!B:C,2,0)</f>
        <v>San Pablo</v>
      </c>
    </row>
    <row r="375" spans="2:13">
      <c r="B375" s="50">
        <f t="shared" si="28"/>
        <v>45991</v>
      </c>
      <c r="C375">
        <v>3104105</v>
      </c>
      <c r="D375">
        <v>2219892</v>
      </c>
      <c r="E375" s="3">
        <v>317622.87</v>
      </c>
      <c r="F375" s="3">
        <v>27631.61</v>
      </c>
      <c r="G375" s="3">
        <v>25454.291864133018</v>
      </c>
      <c r="H375" s="10">
        <v>2177.3181358669844</v>
      </c>
      <c r="I375" s="10">
        <f t="shared" si="30"/>
        <v>2177.3181358669844</v>
      </c>
      <c r="J375" s="10">
        <f t="shared" si="29"/>
        <v>2177.3181358669844</v>
      </c>
      <c r="K375">
        <v>30</v>
      </c>
      <c r="M375" t="str">
        <f>VLOOKUP(C375,Lookup!B:C,2,0)</f>
        <v>San Pablo</v>
      </c>
    </row>
    <row r="376" spans="2:13">
      <c r="B376" s="50">
        <f t="shared" si="28"/>
        <v>45991</v>
      </c>
      <c r="C376">
        <v>3104105</v>
      </c>
      <c r="D376">
        <v>2220567</v>
      </c>
      <c r="E376" s="3">
        <v>468294</v>
      </c>
      <c r="F376" s="3">
        <v>38816.61</v>
      </c>
      <c r="G376" s="3">
        <v>35779.529464133018</v>
      </c>
      <c r="H376" s="10">
        <v>3037.080535866985</v>
      </c>
      <c r="I376" s="10">
        <f t="shared" si="30"/>
        <v>3037.080535866985</v>
      </c>
      <c r="J376" s="10">
        <f t="shared" si="29"/>
        <v>3037.080535866985</v>
      </c>
      <c r="K376">
        <v>30</v>
      </c>
      <c r="M376" t="str">
        <f>VLOOKUP(C376,Lookup!B:C,2,0)</f>
        <v>San Pablo</v>
      </c>
    </row>
    <row r="377" spans="2:13">
      <c r="B377" s="50">
        <f t="shared" si="28"/>
        <v>45991</v>
      </c>
      <c r="C377">
        <v>3104105</v>
      </c>
      <c r="D377">
        <v>2220568</v>
      </c>
      <c r="E377" s="3">
        <v>503049</v>
      </c>
      <c r="F377" s="3">
        <v>20746.79</v>
      </c>
      <c r="G377" s="3">
        <v>19120.510264133016</v>
      </c>
      <c r="H377" s="10">
        <v>1626.2797358669848</v>
      </c>
      <c r="I377" s="10">
        <f t="shared" si="30"/>
        <v>1626.2797358669848</v>
      </c>
      <c r="J377" s="10">
        <f t="shared" si="29"/>
        <v>1626.2797358669848</v>
      </c>
      <c r="K377">
        <v>30</v>
      </c>
      <c r="M377" t="str">
        <f>VLOOKUP(C377,Lookup!B:C,2,0)</f>
        <v>San Pablo</v>
      </c>
    </row>
    <row r="378" spans="2:13">
      <c r="B378" s="50">
        <f t="shared" ref="B378:B441" si="31">B377</f>
        <v>45991</v>
      </c>
      <c r="C378">
        <v>3104105</v>
      </c>
      <c r="D378">
        <v>2220569</v>
      </c>
      <c r="E378" s="3">
        <v>689583</v>
      </c>
      <c r="F378" s="3">
        <v>33100.29</v>
      </c>
      <c r="G378" s="3">
        <v>30580.674264133017</v>
      </c>
      <c r="H378" s="10">
        <v>2519.6157358669848</v>
      </c>
      <c r="I378" s="10">
        <f t="shared" si="30"/>
        <v>2519.6157358669848</v>
      </c>
      <c r="J378" s="10">
        <f t="shared" si="29"/>
        <v>2519.6157358669848</v>
      </c>
      <c r="K378">
        <v>30</v>
      </c>
      <c r="M378" t="str">
        <f>VLOOKUP(C378,Lookup!B:C,2,0)</f>
        <v>San Pablo</v>
      </c>
    </row>
    <row r="379" spans="2:13">
      <c r="B379" s="50">
        <f t="shared" si="31"/>
        <v>45991</v>
      </c>
      <c r="C379">
        <v>3104105</v>
      </c>
      <c r="D379">
        <v>2220570</v>
      </c>
      <c r="E379" s="3">
        <v>703247</v>
      </c>
      <c r="F379" s="3">
        <v>43672.13</v>
      </c>
      <c r="G379" s="3">
        <v>40246.546264133009</v>
      </c>
      <c r="H379" s="10">
        <v>3425.5837358669851</v>
      </c>
      <c r="I379" s="10">
        <f t="shared" si="30"/>
        <v>3425.5837358669851</v>
      </c>
      <c r="J379" s="10">
        <f t="shared" si="29"/>
        <v>3425.5837358669851</v>
      </c>
      <c r="K379">
        <v>30</v>
      </c>
      <c r="M379" t="str">
        <f>VLOOKUP(C379,Lookup!B:C,2,0)</f>
        <v>San Pablo</v>
      </c>
    </row>
    <row r="380" spans="2:13">
      <c r="B380" s="50">
        <f t="shared" si="31"/>
        <v>45991</v>
      </c>
      <c r="C380">
        <v>3104105</v>
      </c>
      <c r="D380">
        <v>2220571</v>
      </c>
      <c r="E380" s="3">
        <v>288161.59999999998</v>
      </c>
      <c r="F380" s="3">
        <v>25358.15</v>
      </c>
      <c r="G380" s="3">
        <v>23404.571864133017</v>
      </c>
      <c r="H380" s="10">
        <v>1953.5781358669847</v>
      </c>
      <c r="I380" s="10">
        <f t="shared" si="30"/>
        <v>1953.5781358669847</v>
      </c>
      <c r="J380" s="10">
        <f t="shared" si="29"/>
        <v>1953.5781358669847</v>
      </c>
      <c r="K380">
        <v>30</v>
      </c>
      <c r="M380" t="str">
        <f>VLOOKUP(C380,Lookup!B:C,2,0)</f>
        <v>San Pablo</v>
      </c>
    </row>
    <row r="381" spans="2:13">
      <c r="B381" s="50">
        <f t="shared" si="31"/>
        <v>45991</v>
      </c>
      <c r="C381">
        <v>3104105</v>
      </c>
      <c r="D381">
        <v>2220572</v>
      </c>
      <c r="E381" s="3">
        <v>187923.6</v>
      </c>
      <c r="F381" s="3">
        <v>14897.01</v>
      </c>
      <c r="G381" s="3">
        <v>13761.757464133016</v>
      </c>
      <c r="H381" s="10">
        <v>1135.2525358669845</v>
      </c>
      <c r="I381" s="10">
        <f t="shared" si="30"/>
        <v>1135.2525358669845</v>
      </c>
      <c r="J381" s="10">
        <f t="shared" si="29"/>
        <v>1135.2525358669845</v>
      </c>
      <c r="K381">
        <v>30</v>
      </c>
      <c r="M381" t="str">
        <f>VLOOKUP(C381,Lookup!B:C,2,0)</f>
        <v>San Pablo</v>
      </c>
    </row>
    <row r="382" spans="2:13">
      <c r="B382" s="50">
        <f t="shared" si="31"/>
        <v>45991</v>
      </c>
      <c r="C382">
        <v>3104105</v>
      </c>
      <c r="D382">
        <v>2220573</v>
      </c>
      <c r="E382" s="3">
        <v>253721.60000000001</v>
      </c>
      <c r="F382" s="3">
        <v>18216.3</v>
      </c>
      <c r="G382" s="3">
        <v>16838.791464133014</v>
      </c>
      <c r="H382" s="10">
        <v>1377.5085358669846</v>
      </c>
      <c r="I382" s="10">
        <f t="shared" si="30"/>
        <v>1377.5085358669846</v>
      </c>
      <c r="J382" s="10">
        <f t="shared" si="29"/>
        <v>1377.5085358669846</v>
      </c>
      <c r="K382">
        <v>30</v>
      </c>
      <c r="M382" t="str">
        <f>VLOOKUP(C382,Lookup!B:C,2,0)</f>
        <v>San Pablo</v>
      </c>
    </row>
    <row r="383" spans="2:13">
      <c r="B383" s="50">
        <f t="shared" si="31"/>
        <v>45991</v>
      </c>
      <c r="C383">
        <v>3104105</v>
      </c>
      <c r="D383">
        <v>2220574</v>
      </c>
      <c r="E383" s="3">
        <v>555190</v>
      </c>
      <c r="F383" s="3">
        <v>27044.21</v>
      </c>
      <c r="G383" s="3">
        <v>24927.761464133015</v>
      </c>
      <c r="H383" s="10">
        <v>2116.4485358669849</v>
      </c>
      <c r="I383" s="10">
        <f t="shared" si="30"/>
        <v>2116.4485358669849</v>
      </c>
      <c r="J383" s="10">
        <f t="shared" si="29"/>
        <v>2116.4485358669849</v>
      </c>
      <c r="K383">
        <v>30</v>
      </c>
      <c r="M383" t="str">
        <f>VLOOKUP(C383,Lookup!B:C,2,0)</f>
        <v>San Pablo</v>
      </c>
    </row>
    <row r="384" spans="2:13">
      <c r="B384" s="50">
        <f t="shared" si="31"/>
        <v>45991</v>
      </c>
      <c r="C384">
        <v>3104105</v>
      </c>
      <c r="D384">
        <v>2220576</v>
      </c>
      <c r="E384" s="3">
        <v>235794.8</v>
      </c>
      <c r="F384" s="3">
        <v>17029.88</v>
      </c>
      <c r="G384" s="3">
        <v>15703.261864133015</v>
      </c>
      <c r="H384" s="10">
        <v>1326.6181358669846</v>
      </c>
      <c r="I384" s="10">
        <f t="shared" si="30"/>
        <v>1326.6181358669846</v>
      </c>
      <c r="J384" s="10">
        <f t="shared" si="29"/>
        <v>1326.6181358669846</v>
      </c>
      <c r="K384">
        <v>30</v>
      </c>
      <c r="M384" t="str">
        <f>VLOOKUP(C384,Lookup!B:C,2,0)</f>
        <v>San Pablo</v>
      </c>
    </row>
    <row r="385" spans="2:13">
      <c r="B385" s="50">
        <f t="shared" si="31"/>
        <v>45991</v>
      </c>
      <c r="C385">
        <v>3104105</v>
      </c>
      <c r="D385">
        <v>2226646</v>
      </c>
      <c r="E385" s="3">
        <v>757352</v>
      </c>
      <c r="F385" s="3">
        <v>22146.65</v>
      </c>
      <c r="G385" s="3">
        <v>20470.116664133016</v>
      </c>
      <c r="H385" s="10">
        <v>1676.5333358669845</v>
      </c>
      <c r="I385" s="10">
        <f t="shared" si="30"/>
        <v>1676.5333358669845</v>
      </c>
      <c r="J385" s="10">
        <f t="shared" si="29"/>
        <v>1676.5333358669845</v>
      </c>
      <c r="K385">
        <v>30</v>
      </c>
      <c r="M385" t="str">
        <f>VLOOKUP(C385,Lookup!B:C,2,0)</f>
        <v>San Pablo</v>
      </c>
    </row>
    <row r="386" spans="2:13">
      <c r="B386" s="50">
        <f t="shared" si="31"/>
        <v>45991</v>
      </c>
      <c r="C386">
        <v>3104105</v>
      </c>
      <c r="D386">
        <v>2229743</v>
      </c>
      <c r="E386" s="3">
        <v>473419</v>
      </c>
      <c r="F386" s="3">
        <v>23257.16</v>
      </c>
      <c r="G386" s="3">
        <v>21475.569064133015</v>
      </c>
      <c r="H386" s="10">
        <v>1781.5909358669846</v>
      </c>
      <c r="I386" s="10">
        <f t="shared" si="30"/>
        <v>1781.5909358669846</v>
      </c>
      <c r="J386" s="10">
        <f t="shared" ref="J386:J449" si="32">I386</f>
        <v>1781.5909358669846</v>
      </c>
      <c r="K386">
        <v>30</v>
      </c>
      <c r="M386" t="str">
        <f>VLOOKUP(C386,Lookup!B:C,2,0)</f>
        <v>San Pablo</v>
      </c>
    </row>
    <row r="387" spans="2:13">
      <c r="B387" s="50">
        <f t="shared" si="31"/>
        <v>45991</v>
      </c>
      <c r="C387">
        <v>3104105</v>
      </c>
      <c r="D387">
        <v>2230467</v>
      </c>
      <c r="E387" s="3">
        <v>284175.5</v>
      </c>
      <c r="F387" s="3">
        <v>30126.11</v>
      </c>
      <c r="G387" s="3">
        <v>27834.350264133016</v>
      </c>
      <c r="H387" s="10">
        <v>2291.7597358669846</v>
      </c>
      <c r="I387" s="10">
        <f t="shared" si="30"/>
        <v>2291.7597358669846</v>
      </c>
      <c r="J387" s="10">
        <f t="shared" si="32"/>
        <v>2291.7597358669846</v>
      </c>
      <c r="K387">
        <v>30</v>
      </c>
      <c r="M387" t="str">
        <f>VLOOKUP(C387,Lookup!B:C,2,0)</f>
        <v>San Pablo</v>
      </c>
    </row>
    <row r="388" spans="2:13">
      <c r="B388" s="50">
        <f t="shared" si="31"/>
        <v>45991</v>
      </c>
      <c r="C388">
        <v>3104105</v>
      </c>
      <c r="D388">
        <v>2255594</v>
      </c>
      <c r="E388" s="3">
        <v>1177196</v>
      </c>
      <c r="F388" s="3">
        <v>29220.49</v>
      </c>
      <c r="G388" s="3">
        <v>26986.542264133015</v>
      </c>
      <c r="H388" s="10">
        <v>2233.9477358669847</v>
      </c>
      <c r="I388" s="10">
        <f t="shared" ref="I388:I451" si="33">H388</f>
        <v>2233.9477358669847</v>
      </c>
      <c r="J388" s="10">
        <f t="shared" si="32"/>
        <v>2233.9477358669847</v>
      </c>
      <c r="K388">
        <v>30</v>
      </c>
      <c r="M388" t="str">
        <f>VLOOKUP(C388,Lookup!B:C,2,0)</f>
        <v>San Pablo</v>
      </c>
    </row>
    <row r="389" spans="2:13">
      <c r="B389" s="50">
        <f t="shared" si="31"/>
        <v>45991</v>
      </c>
      <c r="C389">
        <v>3104105</v>
      </c>
      <c r="D389">
        <v>2255595</v>
      </c>
      <c r="E389" s="3">
        <v>738888</v>
      </c>
      <c r="F389" s="3">
        <v>39184.04</v>
      </c>
      <c r="G389" s="3">
        <v>36137.146664133019</v>
      </c>
      <c r="H389" s="10">
        <v>3046.8933358669847</v>
      </c>
      <c r="I389" s="10">
        <f t="shared" si="33"/>
        <v>3046.8933358669847</v>
      </c>
      <c r="J389" s="10">
        <f t="shared" si="32"/>
        <v>3046.8933358669847</v>
      </c>
      <c r="K389">
        <v>30</v>
      </c>
      <c r="M389" t="str">
        <f>VLOOKUP(C389,Lookup!B:C,2,0)</f>
        <v>San Pablo</v>
      </c>
    </row>
    <row r="390" spans="2:13">
      <c r="B390" s="50">
        <f t="shared" si="31"/>
        <v>45991</v>
      </c>
      <c r="C390">
        <v>3104105</v>
      </c>
      <c r="D390">
        <v>2255596</v>
      </c>
      <c r="E390" s="3">
        <v>691320</v>
      </c>
      <c r="F390" s="3">
        <v>34302.51</v>
      </c>
      <c r="G390" s="3">
        <v>31622.306264133018</v>
      </c>
      <c r="H390" s="10">
        <v>2680.203735866985</v>
      </c>
      <c r="I390" s="10">
        <f t="shared" si="33"/>
        <v>2680.203735866985</v>
      </c>
      <c r="J390" s="10">
        <f t="shared" si="32"/>
        <v>2680.203735866985</v>
      </c>
      <c r="K390">
        <v>30</v>
      </c>
      <c r="M390" t="str">
        <f>VLOOKUP(C390,Lookup!B:C,2,0)</f>
        <v>San Pablo</v>
      </c>
    </row>
    <row r="391" spans="2:13">
      <c r="B391" s="50">
        <f t="shared" si="31"/>
        <v>45991</v>
      </c>
      <c r="C391">
        <v>3104105</v>
      </c>
      <c r="D391">
        <v>2255597</v>
      </c>
      <c r="E391" s="3">
        <v>488932</v>
      </c>
      <c r="F391" s="3">
        <v>22901.78</v>
      </c>
      <c r="G391" s="3">
        <v>21133.470664133016</v>
      </c>
      <c r="H391" s="10">
        <v>1768.3093358669846</v>
      </c>
      <c r="I391" s="10">
        <f t="shared" si="33"/>
        <v>1768.3093358669846</v>
      </c>
      <c r="J391" s="10">
        <f t="shared" si="32"/>
        <v>1768.3093358669846</v>
      </c>
      <c r="K391">
        <v>30</v>
      </c>
      <c r="M391" t="str">
        <f>VLOOKUP(C391,Lookup!B:C,2,0)</f>
        <v>San Pablo</v>
      </c>
    </row>
    <row r="392" spans="2:13">
      <c r="B392" s="50">
        <f t="shared" si="31"/>
        <v>45991</v>
      </c>
      <c r="C392">
        <v>3104105</v>
      </c>
      <c r="D392">
        <v>2369768</v>
      </c>
      <c r="E392" s="3">
        <v>9014.49</v>
      </c>
      <c r="F392" s="3">
        <v>1163</v>
      </c>
      <c r="G392" s="3">
        <v>1118.8874641330153</v>
      </c>
      <c r="H392" s="10">
        <v>44.112535866984587</v>
      </c>
      <c r="I392" s="10">
        <f t="shared" si="33"/>
        <v>44.112535866984587</v>
      </c>
      <c r="J392" s="10">
        <f t="shared" si="32"/>
        <v>44.112535866984587</v>
      </c>
      <c r="K392">
        <v>3</v>
      </c>
      <c r="M392" t="str">
        <f>VLOOKUP(C392,Lookup!B:C,2,0)</f>
        <v>San Pablo</v>
      </c>
    </row>
    <row r="393" spans="2:13">
      <c r="B393" s="50">
        <f t="shared" si="31"/>
        <v>45991</v>
      </c>
      <c r="C393">
        <v>3104105</v>
      </c>
      <c r="D393">
        <v>2369769</v>
      </c>
      <c r="E393" s="3">
        <v>14764.95</v>
      </c>
      <c r="F393" s="3">
        <v>-253.26</v>
      </c>
      <c r="G393" s="3">
        <v>-188.64213586698457</v>
      </c>
      <c r="H393" s="10">
        <v>-64.617864133015416</v>
      </c>
      <c r="I393" s="10">
        <f t="shared" si="33"/>
        <v>-64.617864133015416</v>
      </c>
      <c r="J393" s="10">
        <f t="shared" si="32"/>
        <v>-64.617864133015416</v>
      </c>
      <c r="K393">
        <v>3</v>
      </c>
      <c r="M393" t="str">
        <f>VLOOKUP(C393,Lookup!B:C,2,0)</f>
        <v>San Pablo</v>
      </c>
    </row>
    <row r="394" spans="2:13">
      <c r="B394" s="50">
        <f t="shared" si="31"/>
        <v>45991</v>
      </c>
      <c r="C394">
        <v>3104105</v>
      </c>
      <c r="D394">
        <v>2369775</v>
      </c>
      <c r="E394" s="3">
        <v>12610.08</v>
      </c>
      <c r="F394" s="3">
        <v>-85.029999999999703</v>
      </c>
      <c r="G394" s="3">
        <v>-51.589735866984299</v>
      </c>
      <c r="H394" s="10">
        <v>-33.440264133015404</v>
      </c>
      <c r="I394" s="10">
        <f t="shared" si="33"/>
        <v>-33.440264133015404</v>
      </c>
      <c r="J394" s="10">
        <f t="shared" si="32"/>
        <v>-33.440264133015404</v>
      </c>
      <c r="K394">
        <v>3</v>
      </c>
      <c r="M394" t="str">
        <f>VLOOKUP(C394,Lookup!B:C,2,0)</f>
        <v>San Pablo</v>
      </c>
    </row>
    <row r="395" spans="2:13">
      <c r="B395" s="50">
        <f t="shared" si="31"/>
        <v>45991</v>
      </c>
      <c r="C395">
        <v>3104105</v>
      </c>
      <c r="D395">
        <v>2372526</v>
      </c>
      <c r="E395" s="3">
        <v>336453.2</v>
      </c>
      <c r="F395" s="3">
        <v>35199.599999999999</v>
      </c>
      <c r="G395" s="3">
        <v>32364.087464133016</v>
      </c>
      <c r="H395" s="10">
        <v>2835.5125358669843</v>
      </c>
      <c r="I395" s="10">
        <f t="shared" si="33"/>
        <v>2835.5125358669843</v>
      </c>
      <c r="J395" s="10">
        <f t="shared" si="32"/>
        <v>2835.5125358669843</v>
      </c>
      <c r="K395">
        <v>30</v>
      </c>
      <c r="M395" t="str">
        <f>VLOOKUP(C395,Lookup!B:C,2,0)</f>
        <v>San Pablo</v>
      </c>
    </row>
    <row r="396" spans="2:13">
      <c r="B396" s="50">
        <f t="shared" si="31"/>
        <v>45991</v>
      </c>
      <c r="C396">
        <v>3104105</v>
      </c>
      <c r="D396">
        <v>2372527</v>
      </c>
      <c r="E396" s="3">
        <v>136573.79999999999</v>
      </c>
      <c r="F396" s="3">
        <v>9933.5300000000007</v>
      </c>
      <c r="G396" s="3">
        <v>9114.2822641330167</v>
      </c>
      <c r="H396" s="10">
        <v>819.24773586698473</v>
      </c>
      <c r="I396" s="10">
        <f t="shared" si="33"/>
        <v>819.24773586698473</v>
      </c>
      <c r="J396" s="10">
        <f t="shared" si="32"/>
        <v>819.24773586698473</v>
      </c>
      <c r="K396">
        <v>30</v>
      </c>
      <c r="M396" t="str">
        <f>VLOOKUP(C396,Lookup!B:C,2,0)</f>
        <v>San Pablo</v>
      </c>
    </row>
    <row r="397" spans="2:13">
      <c r="B397" s="50">
        <f t="shared" si="31"/>
        <v>45991</v>
      </c>
      <c r="C397">
        <v>3104105</v>
      </c>
      <c r="D397">
        <v>2372529</v>
      </c>
      <c r="E397" s="3">
        <v>208299.6</v>
      </c>
      <c r="F397" s="3">
        <v>13409.19</v>
      </c>
      <c r="G397" s="3">
        <v>12370.334264133016</v>
      </c>
      <c r="H397" s="10">
        <v>1038.8557358669846</v>
      </c>
      <c r="I397" s="10">
        <f t="shared" si="33"/>
        <v>1038.8557358669846</v>
      </c>
      <c r="J397" s="10">
        <f t="shared" si="32"/>
        <v>1038.8557358669846</v>
      </c>
      <c r="K397">
        <v>30</v>
      </c>
      <c r="M397" t="str">
        <f>VLOOKUP(C397,Lookup!B:C,2,0)</f>
        <v>San Pablo</v>
      </c>
    </row>
    <row r="398" spans="2:13">
      <c r="B398" s="50">
        <f t="shared" si="31"/>
        <v>45991</v>
      </c>
      <c r="C398">
        <v>3104105</v>
      </c>
      <c r="D398">
        <v>2372530</v>
      </c>
      <c r="E398" s="3">
        <v>317861.75</v>
      </c>
      <c r="F398" s="3">
        <v>32650.78</v>
      </c>
      <c r="G398" s="3">
        <v>30053.998664133014</v>
      </c>
      <c r="H398" s="10">
        <v>2596.7813358669846</v>
      </c>
      <c r="I398" s="10">
        <f t="shared" si="33"/>
        <v>2596.7813358669846</v>
      </c>
      <c r="J398" s="10">
        <f t="shared" si="32"/>
        <v>2596.7813358669846</v>
      </c>
      <c r="K398">
        <v>30</v>
      </c>
      <c r="M398" t="str">
        <f>VLOOKUP(C398,Lookup!B:C,2,0)</f>
        <v>San Pablo</v>
      </c>
    </row>
    <row r="399" spans="2:13">
      <c r="B399" s="50">
        <f t="shared" si="31"/>
        <v>45991</v>
      </c>
      <c r="C399">
        <v>3104105</v>
      </c>
      <c r="D399">
        <v>2377913</v>
      </c>
      <c r="E399" s="3">
        <v>220019.5</v>
      </c>
      <c r="F399" s="3">
        <v>13012.42</v>
      </c>
      <c r="G399" s="3">
        <v>11957.871464133015</v>
      </c>
      <c r="H399" s="10">
        <v>1054.5485358669846</v>
      </c>
      <c r="I399" s="10">
        <f t="shared" si="33"/>
        <v>1054.5485358669846</v>
      </c>
      <c r="J399" s="10">
        <f t="shared" si="32"/>
        <v>1054.5485358669846</v>
      </c>
      <c r="K399">
        <v>30</v>
      </c>
      <c r="M399" t="str">
        <f>VLOOKUP(C399,Lookup!B:C,2,0)</f>
        <v>San Pablo</v>
      </c>
    </row>
    <row r="400" spans="2:13">
      <c r="B400" s="50">
        <f t="shared" si="31"/>
        <v>45991</v>
      </c>
      <c r="C400">
        <v>3104105</v>
      </c>
      <c r="D400">
        <v>2377928</v>
      </c>
      <c r="E400" s="3">
        <v>105173.75</v>
      </c>
      <c r="F400" s="3">
        <v>13089.11</v>
      </c>
      <c r="G400" s="3">
        <v>12081.936664133016</v>
      </c>
      <c r="H400" s="10">
        <v>1007.1733358669846</v>
      </c>
      <c r="I400" s="10">
        <f t="shared" si="33"/>
        <v>1007.1733358669846</v>
      </c>
      <c r="J400" s="10">
        <f t="shared" si="32"/>
        <v>1007.1733358669846</v>
      </c>
      <c r="K400">
        <v>30</v>
      </c>
      <c r="M400" t="str">
        <f>VLOOKUP(C400,Lookup!B:C,2,0)</f>
        <v>San Pablo</v>
      </c>
    </row>
    <row r="401" spans="2:13">
      <c r="B401" s="50">
        <f t="shared" si="31"/>
        <v>45991</v>
      </c>
      <c r="C401">
        <v>3104105</v>
      </c>
      <c r="D401">
        <v>2381476</v>
      </c>
      <c r="E401" s="3">
        <v>229025.5</v>
      </c>
      <c r="F401" s="3">
        <v>7475.4800000000096</v>
      </c>
      <c r="G401" s="3">
        <v>6836.8690641330249</v>
      </c>
      <c r="H401" s="10">
        <v>638.61093586698462</v>
      </c>
      <c r="I401" s="10">
        <f t="shared" si="33"/>
        <v>638.61093586698462</v>
      </c>
      <c r="J401" s="10">
        <f t="shared" si="32"/>
        <v>638.61093586698462</v>
      </c>
      <c r="K401">
        <v>30</v>
      </c>
      <c r="M401" t="str">
        <f>VLOOKUP(C401,Lookup!B:C,2,0)</f>
        <v>San Pablo</v>
      </c>
    </row>
    <row r="402" spans="2:13">
      <c r="B402" s="50">
        <f t="shared" si="31"/>
        <v>45991</v>
      </c>
      <c r="C402">
        <v>3104105</v>
      </c>
      <c r="D402">
        <v>2388128</v>
      </c>
      <c r="E402" s="3">
        <v>415019.5</v>
      </c>
      <c r="F402" s="3">
        <v>32051.3</v>
      </c>
      <c r="G402" s="3">
        <v>29520.878664133015</v>
      </c>
      <c r="H402" s="10">
        <v>2530.4213358669849</v>
      </c>
      <c r="I402" s="10">
        <f t="shared" si="33"/>
        <v>2530.4213358669849</v>
      </c>
      <c r="J402" s="10">
        <f t="shared" si="32"/>
        <v>2530.4213358669849</v>
      </c>
      <c r="K402">
        <v>30</v>
      </c>
      <c r="M402" t="str">
        <f>VLOOKUP(C402,Lookup!B:C,2,0)</f>
        <v>San Pablo</v>
      </c>
    </row>
    <row r="403" spans="2:13">
      <c r="B403" s="50">
        <f t="shared" si="31"/>
        <v>45991</v>
      </c>
      <c r="C403">
        <v>3104105</v>
      </c>
      <c r="D403">
        <v>2388284</v>
      </c>
      <c r="E403" s="3">
        <v>431228.25</v>
      </c>
      <c r="F403" s="3">
        <v>38172.129999999997</v>
      </c>
      <c r="G403" s="3">
        <v>35203.844664133016</v>
      </c>
      <c r="H403" s="10">
        <v>2968.2853358669845</v>
      </c>
      <c r="I403" s="10">
        <f t="shared" si="33"/>
        <v>2968.2853358669845</v>
      </c>
      <c r="J403" s="10">
        <f t="shared" si="32"/>
        <v>2968.2853358669845</v>
      </c>
      <c r="K403">
        <v>30</v>
      </c>
      <c r="M403" t="str">
        <f>VLOOKUP(C403,Lookup!B:C,2,0)</f>
        <v>San Pablo</v>
      </c>
    </row>
    <row r="404" spans="2:13">
      <c r="B404" s="50">
        <f t="shared" si="31"/>
        <v>45991</v>
      </c>
      <c r="C404">
        <v>3104105</v>
      </c>
      <c r="D404">
        <v>2388302</v>
      </c>
      <c r="E404" s="3">
        <v>412240</v>
      </c>
      <c r="F404" s="3">
        <v>29032.69</v>
      </c>
      <c r="G404" s="3">
        <v>26789.967864133014</v>
      </c>
      <c r="H404" s="10">
        <v>2242.7221358669844</v>
      </c>
      <c r="I404" s="10">
        <f t="shared" si="33"/>
        <v>2242.7221358669844</v>
      </c>
      <c r="J404" s="10">
        <f t="shared" si="32"/>
        <v>2242.7221358669844</v>
      </c>
      <c r="K404">
        <v>30</v>
      </c>
      <c r="M404" t="str">
        <f>VLOOKUP(C404,Lookup!B:C,2,0)</f>
        <v>San Pablo</v>
      </c>
    </row>
    <row r="405" spans="2:13">
      <c r="B405" s="50">
        <f t="shared" si="31"/>
        <v>45991</v>
      </c>
      <c r="C405">
        <v>3104105</v>
      </c>
      <c r="D405">
        <v>2390094</v>
      </c>
      <c r="E405" s="3">
        <v>228695.67</v>
      </c>
      <c r="F405" s="3">
        <v>21552.09</v>
      </c>
      <c r="G405" s="3">
        <v>19876.767064133015</v>
      </c>
      <c r="H405" s="10">
        <v>1675.3229358669848</v>
      </c>
      <c r="I405" s="10">
        <f t="shared" si="33"/>
        <v>1675.3229358669848</v>
      </c>
      <c r="J405" s="10">
        <f t="shared" si="32"/>
        <v>1675.3229358669848</v>
      </c>
      <c r="K405">
        <v>30</v>
      </c>
      <c r="M405" t="str">
        <f>VLOOKUP(C405,Lookup!B:C,2,0)</f>
        <v>San Pablo</v>
      </c>
    </row>
    <row r="406" spans="2:13">
      <c r="B406" s="50">
        <f t="shared" si="31"/>
        <v>45991</v>
      </c>
      <c r="C406">
        <v>3104105</v>
      </c>
      <c r="D406">
        <v>2391187</v>
      </c>
      <c r="E406" s="3">
        <v>14065.11</v>
      </c>
      <c r="F406" s="3">
        <v>1505.32</v>
      </c>
      <c r="G406" s="3">
        <v>1430.6938641330153</v>
      </c>
      <c r="H406" s="10">
        <v>74.626135866984598</v>
      </c>
      <c r="I406" s="10">
        <f t="shared" si="33"/>
        <v>74.626135866984598</v>
      </c>
      <c r="J406" s="10">
        <f t="shared" si="32"/>
        <v>74.626135866984598</v>
      </c>
      <c r="K406">
        <v>3</v>
      </c>
      <c r="M406" t="str">
        <f>VLOOKUP(C406,Lookup!B:C,2,0)</f>
        <v>San Pablo</v>
      </c>
    </row>
    <row r="407" spans="2:13">
      <c r="B407" s="50">
        <f t="shared" si="31"/>
        <v>45991</v>
      </c>
      <c r="C407">
        <v>3104105</v>
      </c>
      <c r="D407">
        <v>2391188</v>
      </c>
      <c r="E407" s="3">
        <v>229583.7</v>
      </c>
      <c r="F407" s="3">
        <v>21514.87</v>
      </c>
      <c r="G407" s="3">
        <v>19869.015864133013</v>
      </c>
      <c r="H407" s="10">
        <v>1645.8541358669847</v>
      </c>
      <c r="I407" s="10">
        <f t="shared" si="33"/>
        <v>1645.8541358669847</v>
      </c>
      <c r="J407" s="10">
        <f t="shared" si="32"/>
        <v>1645.8541358669847</v>
      </c>
      <c r="K407">
        <v>30</v>
      </c>
      <c r="M407" t="str">
        <f>VLOOKUP(C407,Lookup!B:C,2,0)</f>
        <v>San Pablo</v>
      </c>
    </row>
    <row r="408" spans="2:13">
      <c r="B408" s="50">
        <f t="shared" si="31"/>
        <v>45991</v>
      </c>
      <c r="C408">
        <v>3104105</v>
      </c>
      <c r="D408">
        <v>2392977</v>
      </c>
      <c r="E408" s="3">
        <v>225523.9</v>
      </c>
      <c r="F408" s="3">
        <v>28560.880000000001</v>
      </c>
      <c r="G408" s="3">
        <v>26322.402664133017</v>
      </c>
      <c r="H408" s="10">
        <v>2238.477335866985</v>
      </c>
      <c r="I408" s="10">
        <f t="shared" si="33"/>
        <v>2238.477335866985</v>
      </c>
      <c r="J408" s="10">
        <f t="shared" si="32"/>
        <v>2238.477335866985</v>
      </c>
      <c r="K408">
        <v>30</v>
      </c>
      <c r="M408" t="str">
        <f>VLOOKUP(C408,Lookup!B:C,2,0)</f>
        <v>San Pablo</v>
      </c>
    </row>
    <row r="409" spans="2:13">
      <c r="B409" s="50">
        <f t="shared" si="31"/>
        <v>45991</v>
      </c>
      <c r="C409">
        <v>3104105</v>
      </c>
      <c r="D409">
        <v>2394127</v>
      </c>
      <c r="E409" s="3">
        <v>268808.76</v>
      </c>
      <c r="F409" s="3">
        <v>34807.82</v>
      </c>
      <c r="G409" s="3">
        <v>32038.355464133016</v>
      </c>
      <c r="H409" s="10">
        <v>2769.4645358669845</v>
      </c>
      <c r="I409" s="10">
        <f t="shared" si="33"/>
        <v>2769.4645358669845</v>
      </c>
      <c r="J409" s="10">
        <f t="shared" si="32"/>
        <v>2769.4645358669845</v>
      </c>
      <c r="K409">
        <v>30</v>
      </c>
      <c r="M409" t="str">
        <f>VLOOKUP(C409,Lookup!B:C,2,0)</f>
        <v>San Pablo</v>
      </c>
    </row>
    <row r="410" spans="2:13">
      <c r="B410" s="50">
        <f t="shared" si="31"/>
        <v>45991</v>
      </c>
      <c r="C410">
        <v>3104105</v>
      </c>
      <c r="D410">
        <v>2402979</v>
      </c>
      <c r="E410" s="3">
        <v>393256</v>
      </c>
      <c r="F410" s="3">
        <v>32157.13</v>
      </c>
      <c r="G410" s="3">
        <v>29575.302264133017</v>
      </c>
      <c r="H410" s="10">
        <v>2581.8277358669848</v>
      </c>
      <c r="I410" s="10">
        <f t="shared" si="33"/>
        <v>2581.8277358669848</v>
      </c>
      <c r="J410" s="10">
        <f t="shared" si="32"/>
        <v>2581.8277358669848</v>
      </c>
      <c r="K410">
        <v>30</v>
      </c>
      <c r="M410" t="str">
        <f>VLOOKUP(C410,Lookup!B:C,2,0)</f>
        <v>San Pablo</v>
      </c>
    </row>
    <row r="411" spans="2:13">
      <c r="B411" s="50">
        <f t="shared" si="31"/>
        <v>45991</v>
      </c>
      <c r="C411">
        <v>3104105</v>
      </c>
      <c r="D411">
        <v>2404569</v>
      </c>
      <c r="E411" s="3">
        <v>273902</v>
      </c>
      <c r="F411" s="3">
        <v>27266.2</v>
      </c>
      <c r="G411" s="3">
        <v>25111.816264133016</v>
      </c>
      <c r="H411" s="10">
        <v>2154.3837358669848</v>
      </c>
      <c r="I411" s="10">
        <f t="shared" si="33"/>
        <v>2154.3837358669848</v>
      </c>
      <c r="J411" s="10">
        <f t="shared" si="32"/>
        <v>2154.3837358669848</v>
      </c>
      <c r="K411">
        <v>30</v>
      </c>
      <c r="M411" t="str">
        <f>VLOOKUP(C411,Lookup!B:C,2,0)</f>
        <v>San Pablo</v>
      </c>
    </row>
    <row r="412" spans="2:13">
      <c r="B412" s="50">
        <f t="shared" si="31"/>
        <v>45991</v>
      </c>
      <c r="C412">
        <v>3104105</v>
      </c>
      <c r="D412">
        <v>2405141</v>
      </c>
      <c r="E412" s="3">
        <v>206231.5</v>
      </c>
      <c r="F412" s="3">
        <v>11929</v>
      </c>
      <c r="G412" s="3">
        <v>11030.129864133016</v>
      </c>
      <c r="H412" s="10">
        <v>898.87013586698458</v>
      </c>
      <c r="I412" s="10">
        <f t="shared" si="33"/>
        <v>898.87013586698458</v>
      </c>
      <c r="J412" s="10">
        <f t="shared" si="32"/>
        <v>898.87013586698458</v>
      </c>
      <c r="K412">
        <v>30</v>
      </c>
      <c r="M412" t="str">
        <f>VLOOKUP(C412,Lookup!B:C,2,0)</f>
        <v>San Pablo</v>
      </c>
    </row>
    <row r="413" spans="2:13">
      <c r="B413" s="50">
        <f t="shared" si="31"/>
        <v>45991</v>
      </c>
      <c r="C413">
        <v>3104105</v>
      </c>
      <c r="D413">
        <v>2407260</v>
      </c>
      <c r="E413" s="3">
        <v>139489.79999999999</v>
      </c>
      <c r="F413" s="3">
        <v>7641.8700000000099</v>
      </c>
      <c r="G413" s="3">
        <v>6973.1686641330252</v>
      </c>
      <c r="H413" s="10">
        <v>668.70133586698466</v>
      </c>
      <c r="I413" s="10">
        <f t="shared" si="33"/>
        <v>668.70133586698466</v>
      </c>
      <c r="J413" s="10">
        <f t="shared" si="32"/>
        <v>668.70133586698466</v>
      </c>
      <c r="K413">
        <v>30</v>
      </c>
      <c r="M413" t="str">
        <f>VLOOKUP(C413,Lookup!B:C,2,0)</f>
        <v>San Pablo</v>
      </c>
    </row>
    <row r="414" spans="2:13">
      <c r="B414" s="50">
        <f t="shared" si="31"/>
        <v>45991</v>
      </c>
      <c r="C414">
        <v>3104105</v>
      </c>
      <c r="D414">
        <v>2407261</v>
      </c>
      <c r="E414" s="3">
        <v>101502</v>
      </c>
      <c r="F414" s="3">
        <v>4555.83</v>
      </c>
      <c r="G414" s="3">
        <v>4238.9150641330152</v>
      </c>
      <c r="H414" s="10">
        <v>316.91493586698459</v>
      </c>
      <c r="I414" s="10">
        <f t="shared" si="33"/>
        <v>316.91493586698459</v>
      </c>
      <c r="J414" s="10">
        <f t="shared" si="32"/>
        <v>316.91493586698459</v>
      </c>
      <c r="K414">
        <v>30</v>
      </c>
      <c r="M414" t="str">
        <f>VLOOKUP(C414,Lookup!B:C,2,0)</f>
        <v>San Pablo</v>
      </c>
    </row>
    <row r="415" spans="2:13">
      <c r="B415" s="50">
        <f t="shared" si="31"/>
        <v>45991</v>
      </c>
      <c r="C415">
        <v>3104105</v>
      </c>
      <c r="D415">
        <v>2407264</v>
      </c>
      <c r="E415" s="3">
        <v>133581.6</v>
      </c>
      <c r="F415" s="3">
        <v>20464.14</v>
      </c>
      <c r="G415" s="3">
        <v>18881.876264133014</v>
      </c>
      <c r="H415" s="10">
        <v>1582.2637358669847</v>
      </c>
      <c r="I415" s="10">
        <f t="shared" si="33"/>
        <v>1582.2637358669847</v>
      </c>
      <c r="J415" s="10">
        <f t="shared" si="32"/>
        <v>1582.2637358669847</v>
      </c>
      <c r="K415">
        <v>30</v>
      </c>
      <c r="M415" t="str">
        <f>VLOOKUP(C415,Lookup!B:C,2,0)</f>
        <v>San Pablo</v>
      </c>
    </row>
    <row r="416" spans="2:13">
      <c r="B416" s="50">
        <f t="shared" si="31"/>
        <v>45991</v>
      </c>
      <c r="C416">
        <v>3104105</v>
      </c>
      <c r="D416">
        <v>2407265</v>
      </c>
      <c r="E416" s="3">
        <v>233744</v>
      </c>
      <c r="F416" s="3">
        <v>20546.919999999998</v>
      </c>
      <c r="G416" s="3">
        <v>18841.706664133013</v>
      </c>
      <c r="H416" s="10">
        <v>1705.2133358669846</v>
      </c>
      <c r="I416" s="10">
        <f t="shared" si="33"/>
        <v>1705.2133358669846</v>
      </c>
      <c r="J416" s="10">
        <f t="shared" si="32"/>
        <v>1705.2133358669846</v>
      </c>
      <c r="K416">
        <v>30</v>
      </c>
      <c r="M416" t="str">
        <f>VLOOKUP(C416,Lookup!B:C,2,0)</f>
        <v>San Pablo</v>
      </c>
    </row>
    <row r="417" spans="2:13">
      <c r="B417" s="50">
        <f t="shared" si="31"/>
        <v>45991</v>
      </c>
      <c r="C417">
        <v>3104105</v>
      </c>
      <c r="D417">
        <v>2408999</v>
      </c>
      <c r="E417" s="3">
        <v>302676</v>
      </c>
      <c r="F417" s="3">
        <v>11554.62</v>
      </c>
      <c r="G417" s="3">
        <v>10678.454664133016</v>
      </c>
      <c r="H417" s="10">
        <v>876.16533586698461</v>
      </c>
      <c r="I417" s="10">
        <f t="shared" si="33"/>
        <v>876.16533586698461</v>
      </c>
      <c r="J417" s="10">
        <f t="shared" si="32"/>
        <v>876.16533586698461</v>
      </c>
      <c r="K417">
        <v>30</v>
      </c>
      <c r="M417" t="str">
        <f>VLOOKUP(C417,Lookup!B:C,2,0)</f>
        <v>San Pablo</v>
      </c>
    </row>
    <row r="418" spans="2:13">
      <c r="B418" s="50">
        <f t="shared" si="31"/>
        <v>45991</v>
      </c>
      <c r="C418">
        <v>3104105</v>
      </c>
      <c r="D418">
        <v>2411349</v>
      </c>
      <c r="E418" s="3">
        <v>331651.5</v>
      </c>
      <c r="F418" s="3">
        <v>29775.119999999999</v>
      </c>
      <c r="G418" s="3">
        <v>27401.093064133012</v>
      </c>
      <c r="H418" s="10">
        <v>2374.0269358669848</v>
      </c>
      <c r="I418" s="10">
        <f t="shared" si="33"/>
        <v>2374.0269358669848</v>
      </c>
      <c r="J418" s="10">
        <f t="shared" si="32"/>
        <v>2374.0269358669848</v>
      </c>
      <c r="K418">
        <v>30</v>
      </c>
      <c r="M418" t="str">
        <f>VLOOKUP(C418,Lookup!B:C,2,0)</f>
        <v>San Pablo</v>
      </c>
    </row>
    <row r="419" spans="2:13">
      <c r="B419" s="50">
        <f t="shared" si="31"/>
        <v>45991</v>
      </c>
      <c r="C419">
        <v>3104105</v>
      </c>
      <c r="D419">
        <v>2412949</v>
      </c>
      <c r="E419" s="3">
        <v>349790.8</v>
      </c>
      <c r="F419" s="3">
        <v>32015.49</v>
      </c>
      <c r="G419" s="3">
        <v>29481.254264133018</v>
      </c>
      <c r="H419" s="10">
        <v>2534.2357358669847</v>
      </c>
      <c r="I419" s="10">
        <f t="shared" si="33"/>
        <v>2534.2357358669847</v>
      </c>
      <c r="J419" s="10">
        <f t="shared" si="32"/>
        <v>2534.2357358669847</v>
      </c>
      <c r="K419">
        <v>30</v>
      </c>
      <c r="M419" t="str">
        <f>VLOOKUP(C419,Lookup!B:C,2,0)</f>
        <v>San Pablo</v>
      </c>
    </row>
    <row r="420" spans="2:13">
      <c r="B420" s="50">
        <f t="shared" si="31"/>
        <v>45991</v>
      </c>
      <c r="C420">
        <v>3104105</v>
      </c>
      <c r="D420">
        <v>2413864</v>
      </c>
      <c r="E420" s="3">
        <v>333003.59999999998</v>
      </c>
      <c r="F420" s="3">
        <v>35345.040000000001</v>
      </c>
      <c r="G420" s="3">
        <v>32575.434664133016</v>
      </c>
      <c r="H420" s="10">
        <v>2769.6053358669847</v>
      </c>
      <c r="I420" s="10">
        <f t="shared" si="33"/>
        <v>2769.6053358669847</v>
      </c>
      <c r="J420" s="10">
        <f t="shared" si="32"/>
        <v>2769.6053358669847</v>
      </c>
      <c r="K420">
        <v>30</v>
      </c>
      <c r="M420" t="str">
        <f>VLOOKUP(C420,Lookup!B:C,2,0)</f>
        <v>San Pablo</v>
      </c>
    </row>
    <row r="421" spans="2:13">
      <c r="B421" s="50">
        <f t="shared" si="31"/>
        <v>45991</v>
      </c>
      <c r="C421">
        <v>3104105</v>
      </c>
      <c r="D421">
        <v>2414756</v>
      </c>
      <c r="E421" s="3">
        <v>253954.5</v>
      </c>
      <c r="F421" s="3">
        <v>20199.45</v>
      </c>
      <c r="G421" s="3">
        <v>18617.408664133014</v>
      </c>
      <c r="H421" s="10">
        <v>1582.0413358669848</v>
      </c>
      <c r="I421" s="10">
        <f t="shared" si="33"/>
        <v>1582.0413358669848</v>
      </c>
      <c r="J421" s="10">
        <f t="shared" si="32"/>
        <v>1582.0413358669848</v>
      </c>
      <c r="K421">
        <v>30</v>
      </c>
      <c r="M421" t="str">
        <f>VLOOKUP(C421,Lookup!B:C,2,0)</f>
        <v>San Pablo</v>
      </c>
    </row>
    <row r="422" spans="2:13">
      <c r="B422" s="50">
        <f t="shared" si="31"/>
        <v>45991</v>
      </c>
      <c r="C422">
        <v>3104105</v>
      </c>
      <c r="D422">
        <v>2414757</v>
      </c>
      <c r="E422" s="3">
        <v>174904.5</v>
      </c>
      <c r="F422" s="3">
        <v>26477.63</v>
      </c>
      <c r="G422" s="3">
        <v>24401.647864133018</v>
      </c>
      <c r="H422" s="10">
        <v>2075.9821358669847</v>
      </c>
      <c r="I422" s="10">
        <f t="shared" si="33"/>
        <v>2075.9821358669847</v>
      </c>
      <c r="J422" s="10">
        <f t="shared" si="32"/>
        <v>2075.9821358669847</v>
      </c>
      <c r="K422">
        <v>30</v>
      </c>
      <c r="M422" t="str">
        <f>VLOOKUP(C422,Lookup!B:C,2,0)</f>
        <v>San Pablo</v>
      </c>
    </row>
    <row r="423" spans="2:13">
      <c r="B423" s="50">
        <f t="shared" si="31"/>
        <v>45991</v>
      </c>
      <c r="C423">
        <v>3104105</v>
      </c>
      <c r="D423">
        <v>2414758</v>
      </c>
      <c r="E423" s="3">
        <v>188429.25</v>
      </c>
      <c r="F423" s="3">
        <v>19565.97</v>
      </c>
      <c r="G423" s="3">
        <v>18055.177464133016</v>
      </c>
      <c r="H423" s="10">
        <v>1510.7925358669847</v>
      </c>
      <c r="I423" s="10">
        <f t="shared" si="33"/>
        <v>1510.7925358669847</v>
      </c>
      <c r="J423" s="10">
        <f t="shared" si="32"/>
        <v>1510.7925358669847</v>
      </c>
      <c r="K423">
        <v>30</v>
      </c>
      <c r="M423" t="str">
        <f>VLOOKUP(C423,Lookup!B:C,2,0)</f>
        <v>San Pablo</v>
      </c>
    </row>
    <row r="424" spans="2:13">
      <c r="B424" s="50">
        <f t="shared" si="31"/>
        <v>45991</v>
      </c>
      <c r="C424">
        <v>3104105</v>
      </c>
      <c r="D424">
        <v>2414898</v>
      </c>
      <c r="E424" s="3">
        <v>318913.5</v>
      </c>
      <c r="F424" s="3">
        <v>32090.14</v>
      </c>
      <c r="G424" s="3">
        <v>29541.350664133017</v>
      </c>
      <c r="H424" s="10">
        <v>2548.7893358669844</v>
      </c>
      <c r="I424" s="10">
        <f t="shared" si="33"/>
        <v>2548.7893358669844</v>
      </c>
      <c r="J424" s="10">
        <f t="shared" si="32"/>
        <v>2548.7893358669844</v>
      </c>
      <c r="K424">
        <v>30</v>
      </c>
      <c r="M424" t="str">
        <f>VLOOKUP(C424,Lookup!B:C,2,0)</f>
        <v>San Pablo</v>
      </c>
    </row>
    <row r="425" spans="2:13">
      <c r="B425" s="50">
        <f t="shared" si="31"/>
        <v>45991</v>
      </c>
      <c r="C425">
        <v>3104105</v>
      </c>
      <c r="D425">
        <v>2414918</v>
      </c>
      <c r="E425" s="3">
        <v>249196.5</v>
      </c>
      <c r="F425" s="3">
        <v>11448.93</v>
      </c>
      <c r="G425" s="3">
        <v>10451.546264133016</v>
      </c>
      <c r="H425" s="10">
        <v>997.38373586698458</v>
      </c>
      <c r="I425" s="10">
        <f t="shared" si="33"/>
        <v>997.38373586698458</v>
      </c>
      <c r="J425" s="10">
        <f t="shared" si="32"/>
        <v>997.38373586698458</v>
      </c>
      <c r="K425">
        <v>30</v>
      </c>
      <c r="M425" t="str">
        <f>VLOOKUP(C425,Lookup!B:C,2,0)</f>
        <v>San Pablo</v>
      </c>
    </row>
    <row r="426" spans="2:13">
      <c r="B426" s="50">
        <f t="shared" si="31"/>
        <v>45991</v>
      </c>
      <c r="C426">
        <v>3104105</v>
      </c>
      <c r="D426">
        <v>2417099</v>
      </c>
      <c r="E426" s="3">
        <v>221726.97</v>
      </c>
      <c r="F426" s="3">
        <v>24766.68</v>
      </c>
      <c r="G426" s="3">
        <v>22836.303464133016</v>
      </c>
      <c r="H426" s="10">
        <v>1930.3765358669846</v>
      </c>
      <c r="I426" s="10">
        <f t="shared" si="33"/>
        <v>1930.3765358669846</v>
      </c>
      <c r="J426" s="10">
        <f t="shared" si="32"/>
        <v>1930.3765358669846</v>
      </c>
      <c r="K426">
        <v>30</v>
      </c>
      <c r="M426" t="str">
        <f>VLOOKUP(C426,Lookup!B:C,2,0)</f>
        <v>San Pablo</v>
      </c>
    </row>
    <row r="427" spans="2:13">
      <c r="B427" s="50">
        <f t="shared" si="31"/>
        <v>45991</v>
      </c>
      <c r="C427">
        <v>3104105</v>
      </c>
      <c r="D427">
        <v>2417101</v>
      </c>
      <c r="E427" s="3">
        <v>217219.05</v>
      </c>
      <c r="F427" s="3">
        <v>12139.38</v>
      </c>
      <c r="G427" s="3">
        <v>11234.000264133014</v>
      </c>
      <c r="H427" s="10">
        <v>905.37973586698467</v>
      </c>
      <c r="I427" s="10">
        <f t="shared" si="33"/>
        <v>905.37973586698467</v>
      </c>
      <c r="J427" s="10">
        <f t="shared" si="32"/>
        <v>905.37973586698467</v>
      </c>
      <c r="K427">
        <v>30</v>
      </c>
      <c r="M427" t="str">
        <f>VLOOKUP(C427,Lookup!B:C,2,0)</f>
        <v>San Pablo</v>
      </c>
    </row>
    <row r="428" spans="2:13">
      <c r="B428" s="50">
        <f t="shared" si="31"/>
        <v>45991</v>
      </c>
      <c r="C428">
        <v>3104105</v>
      </c>
      <c r="D428">
        <v>2417102</v>
      </c>
      <c r="E428" s="3">
        <v>311568</v>
      </c>
      <c r="F428" s="3">
        <v>24000.880000000001</v>
      </c>
      <c r="G428" s="3">
        <v>22227.369864133016</v>
      </c>
      <c r="H428" s="10">
        <v>1773.5101358669847</v>
      </c>
      <c r="I428" s="10">
        <f t="shared" si="33"/>
        <v>1773.5101358669847</v>
      </c>
      <c r="J428" s="10">
        <f t="shared" si="32"/>
        <v>1773.5101358669847</v>
      </c>
      <c r="K428">
        <v>30</v>
      </c>
      <c r="M428" t="str">
        <f>VLOOKUP(C428,Lookup!B:C,2,0)</f>
        <v>San Pablo</v>
      </c>
    </row>
    <row r="429" spans="2:13">
      <c r="B429" s="50">
        <f t="shared" si="31"/>
        <v>45991</v>
      </c>
      <c r="C429">
        <v>3104105</v>
      </c>
      <c r="D429">
        <v>2417104</v>
      </c>
      <c r="E429" s="3">
        <v>219221.1</v>
      </c>
      <c r="F429" s="3">
        <v>21816.5</v>
      </c>
      <c r="G429" s="3">
        <v>20159.695464133016</v>
      </c>
      <c r="H429" s="10">
        <v>1656.8045358669847</v>
      </c>
      <c r="I429" s="10">
        <f t="shared" si="33"/>
        <v>1656.8045358669847</v>
      </c>
      <c r="J429" s="10">
        <f t="shared" si="32"/>
        <v>1656.8045358669847</v>
      </c>
      <c r="K429">
        <v>30</v>
      </c>
      <c r="M429" t="str">
        <f>VLOOKUP(C429,Lookup!B:C,2,0)</f>
        <v>San Pablo</v>
      </c>
    </row>
    <row r="430" spans="2:13">
      <c r="B430" s="50">
        <f t="shared" si="31"/>
        <v>45991</v>
      </c>
      <c r="C430">
        <v>3104105</v>
      </c>
      <c r="D430">
        <v>2417723</v>
      </c>
      <c r="E430" s="3">
        <v>261738.81</v>
      </c>
      <c r="F430" s="3">
        <v>22488.19</v>
      </c>
      <c r="G430" s="3">
        <v>20662.340664133015</v>
      </c>
      <c r="H430" s="10">
        <v>1825.8493358669846</v>
      </c>
      <c r="I430" s="10">
        <f t="shared" si="33"/>
        <v>1825.8493358669846</v>
      </c>
      <c r="J430" s="10">
        <f t="shared" si="32"/>
        <v>1825.8493358669846</v>
      </c>
      <c r="K430">
        <v>30</v>
      </c>
      <c r="M430" t="str">
        <f>VLOOKUP(C430,Lookup!B:C,2,0)</f>
        <v>San Pablo</v>
      </c>
    </row>
    <row r="431" spans="2:13">
      <c r="B431" s="50">
        <f t="shared" si="31"/>
        <v>45991</v>
      </c>
      <c r="C431">
        <v>3104105</v>
      </c>
      <c r="D431">
        <v>2417725</v>
      </c>
      <c r="E431" s="3">
        <v>251737.74</v>
      </c>
      <c r="F431" s="3">
        <v>22564.7</v>
      </c>
      <c r="G431" s="3">
        <v>20763.753864133017</v>
      </c>
      <c r="H431" s="10">
        <v>1800.9461358669846</v>
      </c>
      <c r="I431" s="10">
        <f t="shared" si="33"/>
        <v>1800.9461358669846</v>
      </c>
      <c r="J431" s="10">
        <f t="shared" si="32"/>
        <v>1800.9461358669846</v>
      </c>
      <c r="K431">
        <v>30</v>
      </c>
      <c r="M431" t="str">
        <f>VLOOKUP(C431,Lookup!B:C,2,0)</f>
        <v>San Pablo</v>
      </c>
    </row>
    <row r="432" spans="2:13">
      <c r="B432" s="50">
        <f t="shared" si="31"/>
        <v>45991</v>
      </c>
      <c r="C432">
        <v>3104105</v>
      </c>
      <c r="D432">
        <v>2419734</v>
      </c>
      <c r="E432" s="3">
        <v>174700.24</v>
      </c>
      <c r="F432" s="3">
        <v>11744.68</v>
      </c>
      <c r="G432" s="3">
        <v>10860.440264133016</v>
      </c>
      <c r="H432" s="10">
        <v>884.23973586698469</v>
      </c>
      <c r="I432" s="10">
        <f t="shared" si="33"/>
        <v>884.23973586698469</v>
      </c>
      <c r="J432" s="10">
        <f t="shared" si="32"/>
        <v>884.23973586698469</v>
      </c>
      <c r="K432">
        <v>30</v>
      </c>
      <c r="M432" t="str">
        <f>VLOOKUP(C432,Lookup!B:C,2,0)</f>
        <v>San Pablo</v>
      </c>
    </row>
    <row r="433" spans="2:13">
      <c r="B433" s="50">
        <f t="shared" si="31"/>
        <v>45991</v>
      </c>
      <c r="C433">
        <v>3104105</v>
      </c>
      <c r="D433">
        <v>2419757</v>
      </c>
      <c r="E433" s="3">
        <v>212661.2</v>
      </c>
      <c r="F433" s="3">
        <v>27408.47</v>
      </c>
      <c r="G433" s="3">
        <v>25271.127064133016</v>
      </c>
      <c r="H433" s="10">
        <v>2137.3429358669846</v>
      </c>
      <c r="I433" s="10">
        <f t="shared" si="33"/>
        <v>2137.3429358669846</v>
      </c>
      <c r="J433" s="10">
        <f t="shared" si="32"/>
        <v>2137.3429358669846</v>
      </c>
      <c r="K433">
        <v>30</v>
      </c>
      <c r="M433" t="str">
        <f>VLOOKUP(C433,Lookup!B:C,2,0)</f>
        <v>San Pablo</v>
      </c>
    </row>
    <row r="434" spans="2:13">
      <c r="B434" s="50">
        <f t="shared" si="31"/>
        <v>45991</v>
      </c>
      <c r="C434">
        <v>3104105</v>
      </c>
      <c r="D434">
        <v>2419758</v>
      </c>
      <c r="E434" s="3">
        <v>165195.35999999999</v>
      </c>
      <c r="F434" s="3">
        <v>23238.04</v>
      </c>
      <c r="G434" s="3">
        <v>21434.331464133014</v>
      </c>
      <c r="H434" s="10">
        <v>1803.7085358669847</v>
      </c>
      <c r="I434" s="10">
        <f t="shared" si="33"/>
        <v>1803.7085358669847</v>
      </c>
      <c r="J434" s="10">
        <f t="shared" si="32"/>
        <v>1803.7085358669847</v>
      </c>
      <c r="K434">
        <v>30</v>
      </c>
      <c r="M434" t="str">
        <f>VLOOKUP(C434,Lookup!B:C,2,0)</f>
        <v>San Pablo</v>
      </c>
    </row>
    <row r="435" spans="2:13">
      <c r="B435" s="50">
        <f t="shared" si="31"/>
        <v>45991</v>
      </c>
      <c r="C435">
        <v>3104105</v>
      </c>
      <c r="D435">
        <v>2433428</v>
      </c>
      <c r="E435" s="3">
        <v>165582.6</v>
      </c>
      <c r="F435" s="3">
        <v>3637.21000000001</v>
      </c>
      <c r="G435" s="3">
        <v>3380.4318641330256</v>
      </c>
      <c r="H435" s="10">
        <v>256.7781358669846</v>
      </c>
      <c r="I435" s="10">
        <f t="shared" si="33"/>
        <v>256.7781358669846</v>
      </c>
      <c r="J435" s="10">
        <f t="shared" si="32"/>
        <v>256.7781358669846</v>
      </c>
      <c r="K435">
        <v>30</v>
      </c>
      <c r="M435" t="str">
        <f>VLOOKUP(C435,Lookup!B:C,2,0)</f>
        <v>San Pablo</v>
      </c>
    </row>
    <row r="436" spans="2:13">
      <c r="B436" s="50">
        <f t="shared" si="31"/>
        <v>45991</v>
      </c>
      <c r="C436">
        <v>3104105</v>
      </c>
      <c r="D436">
        <v>2434002</v>
      </c>
      <c r="E436" s="3">
        <v>454131</v>
      </c>
      <c r="F436" s="3">
        <v>34268.230000000003</v>
      </c>
      <c r="G436" s="3">
        <v>31560.875864133021</v>
      </c>
      <c r="H436" s="10">
        <v>2707.3541358669845</v>
      </c>
      <c r="I436" s="10">
        <f t="shared" si="33"/>
        <v>2707.3541358669845</v>
      </c>
      <c r="J436" s="10">
        <f t="shared" si="32"/>
        <v>2707.3541358669845</v>
      </c>
      <c r="K436">
        <v>30</v>
      </c>
      <c r="M436" t="str">
        <f>VLOOKUP(C436,Lookup!B:C,2,0)</f>
        <v>San Pablo</v>
      </c>
    </row>
    <row r="437" spans="2:13">
      <c r="B437" s="50">
        <f t="shared" si="31"/>
        <v>45991</v>
      </c>
      <c r="C437">
        <v>3104105</v>
      </c>
      <c r="D437">
        <v>2439795</v>
      </c>
      <c r="E437" s="3">
        <v>318337.2</v>
      </c>
      <c r="F437" s="3">
        <v>30392.799999999999</v>
      </c>
      <c r="G437" s="3">
        <v>28016.726664133013</v>
      </c>
      <c r="H437" s="10">
        <v>2376.0733358669845</v>
      </c>
      <c r="I437" s="10">
        <f t="shared" si="33"/>
        <v>2376.0733358669845</v>
      </c>
      <c r="J437" s="10">
        <f t="shared" si="32"/>
        <v>2376.0733358669845</v>
      </c>
      <c r="K437">
        <v>30</v>
      </c>
      <c r="M437" t="str">
        <f>VLOOKUP(C437,Lookup!B:C,2,0)</f>
        <v>San Pablo</v>
      </c>
    </row>
    <row r="438" spans="2:13">
      <c r="B438" s="50">
        <f t="shared" si="31"/>
        <v>45991</v>
      </c>
      <c r="C438">
        <v>3104105</v>
      </c>
      <c r="D438">
        <v>2439797</v>
      </c>
      <c r="E438" s="3">
        <v>337790</v>
      </c>
      <c r="F438" s="3">
        <v>32372.65</v>
      </c>
      <c r="G438" s="3">
        <v>29846.412664133015</v>
      </c>
      <c r="H438" s="10">
        <v>2526.2373358669847</v>
      </c>
      <c r="I438" s="10">
        <f t="shared" si="33"/>
        <v>2526.2373358669847</v>
      </c>
      <c r="J438" s="10">
        <f t="shared" si="32"/>
        <v>2526.2373358669847</v>
      </c>
      <c r="K438">
        <v>30</v>
      </c>
      <c r="M438" t="str">
        <f>VLOOKUP(C438,Lookup!B:C,2,0)</f>
        <v>San Pablo</v>
      </c>
    </row>
    <row r="439" spans="2:13">
      <c r="B439" s="50">
        <f t="shared" si="31"/>
        <v>45991</v>
      </c>
      <c r="C439">
        <v>3104105</v>
      </c>
      <c r="D439">
        <v>2441437</v>
      </c>
      <c r="E439" s="3">
        <v>57098.8</v>
      </c>
      <c r="F439" s="3">
        <v>6270.53999999999</v>
      </c>
      <c r="G439" s="3">
        <v>5823.7658641330054</v>
      </c>
      <c r="H439" s="10">
        <v>446.77413586698458</v>
      </c>
      <c r="I439" s="10">
        <f t="shared" si="33"/>
        <v>446.77413586698458</v>
      </c>
      <c r="J439" s="10">
        <f t="shared" si="32"/>
        <v>446.77413586698458</v>
      </c>
      <c r="K439">
        <v>30</v>
      </c>
      <c r="M439" t="str">
        <f>VLOOKUP(C439,Lookup!B:C,2,0)</f>
        <v>San Pablo</v>
      </c>
    </row>
    <row r="440" spans="2:13">
      <c r="B440" s="50">
        <f t="shared" si="31"/>
        <v>45991</v>
      </c>
      <c r="C440">
        <v>3104105</v>
      </c>
      <c r="D440">
        <v>2441440</v>
      </c>
      <c r="E440" s="3">
        <v>141578</v>
      </c>
      <c r="F440" s="3">
        <v>13730.58</v>
      </c>
      <c r="G440" s="3">
        <v>12633.913864133016</v>
      </c>
      <c r="H440" s="10">
        <v>1096.6661358669846</v>
      </c>
      <c r="I440" s="10">
        <f t="shared" si="33"/>
        <v>1096.6661358669846</v>
      </c>
      <c r="J440" s="10">
        <f t="shared" si="32"/>
        <v>1096.6661358669846</v>
      </c>
      <c r="K440">
        <v>30</v>
      </c>
      <c r="M440" t="str">
        <f>VLOOKUP(C440,Lookup!B:C,2,0)</f>
        <v>San Pablo</v>
      </c>
    </row>
    <row r="441" spans="2:13">
      <c r="B441" s="50">
        <f t="shared" si="31"/>
        <v>45991</v>
      </c>
      <c r="C441">
        <v>3104105</v>
      </c>
      <c r="D441">
        <v>2441443</v>
      </c>
      <c r="E441" s="3">
        <v>55899.360000000001</v>
      </c>
      <c r="F441" s="3">
        <v>6459.94</v>
      </c>
      <c r="G441" s="3">
        <v>5998.3802641330149</v>
      </c>
      <c r="H441" s="10">
        <v>461.55973586698462</v>
      </c>
      <c r="I441" s="10">
        <f t="shared" si="33"/>
        <v>461.55973586698462</v>
      </c>
      <c r="J441" s="10">
        <f t="shared" si="32"/>
        <v>461.55973586698462</v>
      </c>
      <c r="K441">
        <v>30</v>
      </c>
      <c r="M441" t="str">
        <f>VLOOKUP(C441,Lookup!B:C,2,0)</f>
        <v>San Pablo</v>
      </c>
    </row>
    <row r="442" spans="2:13">
      <c r="B442" s="50">
        <f t="shared" ref="B442:B505" si="34">B441</f>
        <v>45991</v>
      </c>
      <c r="C442">
        <v>3104105</v>
      </c>
      <c r="D442">
        <v>2441444</v>
      </c>
      <c r="E442" s="3">
        <v>23723.040000000001</v>
      </c>
      <c r="F442" s="3">
        <v>2074.61</v>
      </c>
      <c r="G442" s="3">
        <v>1950.8598641330154</v>
      </c>
      <c r="H442" s="10">
        <v>123.75013586698459</v>
      </c>
      <c r="I442" s="10">
        <f t="shared" si="33"/>
        <v>123.75013586698459</v>
      </c>
      <c r="J442" s="10">
        <f t="shared" si="32"/>
        <v>123.75013586698459</v>
      </c>
      <c r="K442">
        <v>30</v>
      </c>
      <c r="M442" t="str">
        <f>VLOOKUP(C442,Lookup!B:C,2,0)</f>
        <v>San Pablo</v>
      </c>
    </row>
    <row r="443" spans="2:13">
      <c r="B443" s="50">
        <f t="shared" si="34"/>
        <v>45991</v>
      </c>
      <c r="C443">
        <v>3104105</v>
      </c>
      <c r="D443">
        <v>2443058</v>
      </c>
      <c r="E443" s="3">
        <v>252337.75</v>
      </c>
      <c r="F443" s="3">
        <v>23359.37</v>
      </c>
      <c r="G443" s="3">
        <v>21557.561464133014</v>
      </c>
      <c r="H443" s="10">
        <v>1801.8085358669848</v>
      </c>
      <c r="I443" s="10">
        <f t="shared" si="33"/>
        <v>1801.8085358669848</v>
      </c>
      <c r="J443" s="10">
        <f t="shared" si="32"/>
        <v>1801.8085358669848</v>
      </c>
      <c r="K443">
        <v>30</v>
      </c>
      <c r="M443" t="str">
        <f>VLOOKUP(C443,Lookup!B:C,2,0)</f>
        <v>San Pablo</v>
      </c>
    </row>
    <row r="444" spans="2:13">
      <c r="B444" s="50">
        <f t="shared" si="34"/>
        <v>45991</v>
      </c>
      <c r="C444">
        <v>3104105</v>
      </c>
      <c r="D444">
        <v>2443163</v>
      </c>
      <c r="E444" s="3">
        <v>519138</v>
      </c>
      <c r="F444" s="3">
        <v>48368.65</v>
      </c>
      <c r="G444" s="3">
        <v>44572.998264133013</v>
      </c>
      <c r="H444" s="10">
        <v>3795.6517358669848</v>
      </c>
      <c r="I444" s="10">
        <f t="shared" si="33"/>
        <v>3795.6517358669848</v>
      </c>
      <c r="J444" s="10">
        <f t="shared" si="32"/>
        <v>3795.6517358669848</v>
      </c>
      <c r="K444">
        <v>30</v>
      </c>
      <c r="M444" t="str">
        <f>VLOOKUP(C444,Lookup!B:C,2,0)</f>
        <v>San Pablo</v>
      </c>
    </row>
    <row r="445" spans="2:13">
      <c r="B445" s="50">
        <f t="shared" si="34"/>
        <v>45991</v>
      </c>
      <c r="C445">
        <v>3104105</v>
      </c>
      <c r="D445">
        <v>2443178</v>
      </c>
      <c r="E445" s="3">
        <v>489541.75</v>
      </c>
      <c r="F445" s="3">
        <v>27918.46</v>
      </c>
      <c r="G445" s="3">
        <v>25715.021864133014</v>
      </c>
      <c r="H445" s="10">
        <v>2203.4381358669848</v>
      </c>
      <c r="I445" s="10">
        <f t="shared" si="33"/>
        <v>2203.4381358669848</v>
      </c>
      <c r="J445" s="10">
        <f t="shared" si="32"/>
        <v>2203.4381358669848</v>
      </c>
      <c r="K445">
        <v>30</v>
      </c>
      <c r="M445" t="str">
        <f>VLOOKUP(C445,Lookup!B:C,2,0)</f>
        <v>San Pablo</v>
      </c>
    </row>
    <row r="446" spans="2:13">
      <c r="B446" s="50">
        <f t="shared" si="34"/>
        <v>45991</v>
      </c>
      <c r="C446">
        <v>3104105</v>
      </c>
      <c r="D446">
        <v>2443179</v>
      </c>
      <c r="E446" s="3">
        <v>251412.39</v>
      </c>
      <c r="F446" s="3">
        <v>28115.29</v>
      </c>
      <c r="G446" s="3">
        <v>25892.055864133017</v>
      </c>
      <c r="H446" s="10">
        <v>2223.2341358669846</v>
      </c>
      <c r="I446" s="10">
        <f t="shared" si="33"/>
        <v>2223.2341358669846</v>
      </c>
      <c r="J446" s="10">
        <f t="shared" si="32"/>
        <v>2223.2341358669846</v>
      </c>
      <c r="K446">
        <v>30</v>
      </c>
      <c r="M446" t="str">
        <f>VLOOKUP(C446,Lookup!B:C,2,0)</f>
        <v>San Pablo</v>
      </c>
    </row>
    <row r="447" spans="2:13">
      <c r="B447" s="50">
        <f t="shared" si="34"/>
        <v>45991</v>
      </c>
      <c r="C447">
        <v>3104105</v>
      </c>
      <c r="D447">
        <v>2443184</v>
      </c>
      <c r="E447" s="3">
        <v>530329.25</v>
      </c>
      <c r="F447" s="3">
        <v>41545.440000000002</v>
      </c>
      <c r="G447" s="3">
        <v>38282.987464133017</v>
      </c>
      <c r="H447" s="10">
        <v>3262.4525358669844</v>
      </c>
      <c r="I447" s="10">
        <f t="shared" si="33"/>
        <v>3262.4525358669844</v>
      </c>
      <c r="J447" s="10">
        <f t="shared" si="32"/>
        <v>3262.4525358669844</v>
      </c>
      <c r="K447">
        <v>30</v>
      </c>
      <c r="M447" t="str">
        <f>VLOOKUP(C447,Lookup!B:C,2,0)</f>
        <v>San Pablo</v>
      </c>
    </row>
    <row r="448" spans="2:13">
      <c r="B448" s="50">
        <f t="shared" si="34"/>
        <v>45991</v>
      </c>
      <c r="C448">
        <v>3104105</v>
      </c>
      <c r="D448">
        <v>2443197</v>
      </c>
      <c r="E448" s="3">
        <v>231840.63</v>
      </c>
      <c r="F448" s="3">
        <v>15788.11</v>
      </c>
      <c r="G448" s="3">
        <v>14530.967864133016</v>
      </c>
      <c r="H448" s="10">
        <v>1257.1421358669845</v>
      </c>
      <c r="I448" s="10">
        <f t="shared" si="33"/>
        <v>1257.1421358669845</v>
      </c>
      <c r="J448" s="10">
        <f t="shared" si="32"/>
        <v>1257.1421358669845</v>
      </c>
      <c r="K448">
        <v>30</v>
      </c>
      <c r="M448" t="str">
        <f>VLOOKUP(C448,Lookup!B:C,2,0)</f>
        <v>San Pablo</v>
      </c>
    </row>
    <row r="449" spans="2:13">
      <c r="B449" s="50">
        <f t="shared" si="34"/>
        <v>45991</v>
      </c>
      <c r="C449">
        <v>3104105</v>
      </c>
      <c r="D449">
        <v>2443198</v>
      </c>
      <c r="E449" s="3">
        <v>225436.77</v>
      </c>
      <c r="F449" s="3">
        <v>19391.2</v>
      </c>
      <c r="G449" s="3">
        <v>17873.587464133016</v>
      </c>
      <c r="H449" s="10">
        <v>1517.6125358669847</v>
      </c>
      <c r="I449" s="10">
        <f t="shared" si="33"/>
        <v>1517.6125358669847</v>
      </c>
      <c r="J449" s="10">
        <f t="shared" si="32"/>
        <v>1517.6125358669847</v>
      </c>
      <c r="K449">
        <v>30</v>
      </c>
      <c r="M449" t="str">
        <f>VLOOKUP(C449,Lookup!B:C,2,0)</f>
        <v>San Pablo</v>
      </c>
    </row>
    <row r="450" spans="2:13">
      <c r="B450" s="50">
        <f t="shared" si="34"/>
        <v>45991</v>
      </c>
      <c r="C450">
        <v>3104105</v>
      </c>
      <c r="D450">
        <v>2443201</v>
      </c>
      <c r="E450" s="3">
        <v>260051.04</v>
      </c>
      <c r="F450" s="3">
        <v>24995.91</v>
      </c>
      <c r="G450" s="3">
        <v>23052.700664133015</v>
      </c>
      <c r="H450" s="10">
        <v>1943.2093358669847</v>
      </c>
      <c r="I450" s="10">
        <f t="shared" si="33"/>
        <v>1943.2093358669847</v>
      </c>
      <c r="J450" s="10">
        <f t="shared" ref="J450:J513" si="35">I450</f>
        <v>1943.2093358669847</v>
      </c>
      <c r="K450">
        <v>30</v>
      </c>
      <c r="M450" t="str">
        <f>VLOOKUP(C450,Lookup!B:C,2,0)</f>
        <v>San Pablo</v>
      </c>
    </row>
    <row r="451" spans="2:13">
      <c r="B451" s="50">
        <f t="shared" si="34"/>
        <v>45991</v>
      </c>
      <c r="C451">
        <v>3104105</v>
      </c>
      <c r="D451">
        <v>2445685</v>
      </c>
      <c r="E451" s="3">
        <v>219002</v>
      </c>
      <c r="F451" s="3">
        <v>24535.43</v>
      </c>
      <c r="G451" s="3">
        <v>22773.476664133017</v>
      </c>
      <c r="H451" s="10">
        <v>1761.9533358669846</v>
      </c>
      <c r="I451" s="10">
        <f t="shared" si="33"/>
        <v>1761.9533358669846</v>
      </c>
      <c r="J451" s="10">
        <f t="shared" si="35"/>
        <v>1761.9533358669846</v>
      </c>
      <c r="K451">
        <v>30</v>
      </c>
      <c r="M451" t="str">
        <f>VLOOKUP(C451,Lookup!B:C,2,0)</f>
        <v>San Pablo</v>
      </c>
    </row>
    <row r="452" spans="2:13">
      <c r="B452" s="50">
        <f t="shared" si="34"/>
        <v>45991</v>
      </c>
      <c r="C452">
        <v>3104105</v>
      </c>
      <c r="D452">
        <v>2445937</v>
      </c>
      <c r="E452" s="3">
        <v>70962.320000000007</v>
      </c>
      <c r="F452" s="3">
        <v>8001.1000000000104</v>
      </c>
      <c r="G452" s="3">
        <v>7391.2554641330262</v>
      </c>
      <c r="H452" s="10">
        <v>609.84453586698464</v>
      </c>
      <c r="I452" s="10">
        <f t="shared" ref="I452:I515" si="36">H452</f>
        <v>609.84453586698464</v>
      </c>
      <c r="J452" s="10">
        <f t="shared" si="35"/>
        <v>609.84453586698464</v>
      </c>
      <c r="K452">
        <v>30</v>
      </c>
      <c r="M452" t="str">
        <f>VLOOKUP(C452,Lookup!B:C,2,0)</f>
        <v>San Pablo</v>
      </c>
    </row>
    <row r="453" spans="2:13">
      <c r="B453" s="50">
        <f t="shared" si="34"/>
        <v>45991</v>
      </c>
      <c r="C453">
        <v>3104105</v>
      </c>
      <c r="D453">
        <v>2445938</v>
      </c>
      <c r="E453" s="3">
        <v>151105.60000000001</v>
      </c>
      <c r="F453" s="3">
        <v>15654.58</v>
      </c>
      <c r="G453" s="3">
        <v>14489.616264133016</v>
      </c>
      <c r="H453" s="10">
        <v>1164.9637358669845</v>
      </c>
      <c r="I453" s="10">
        <f t="shared" si="36"/>
        <v>1164.9637358669845</v>
      </c>
      <c r="J453" s="10">
        <f t="shared" si="35"/>
        <v>1164.9637358669845</v>
      </c>
      <c r="K453">
        <v>30</v>
      </c>
      <c r="M453" t="str">
        <f>VLOOKUP(C453,Lookup!B:C,2,0)</f>
        <v>San Pablo</v>
      </c>
    </row>
    <row r="454" spans="2:13">
      <c r="B454" s="50">
        <f t="shared" si="34"/>
        <v>45991</v>
      </c>
      <c r="C454">
        <v>3104105</v>
      </c>
      <c r="D454">
        <v>2445939</v>
      </c>
      <c r="E454" s="3">
        <v>87628.64</v>
      </c>
      <c r="F454" s="3">
        <v>7606.54000000001</v>
      </c>
      <c r="G454" s="3">
        <v>7019.2026641330249</v>
      </c>
      <c r="H454" s="10">
        <v>587.33733586698463</v>
      </c>
      <c r="I454" s="10">
        <f t="shared" si="36"/>
        <v>587.33733586698463</v>
      </c>
      <c r="J454" s="10">
        <f t="shared" si="35"/>
        <v>587.33733586698463</v>
      </c>
      <c r="K454">
        <v>30</v>
      </c>
      <c r="M454" t="str">
        <f>VLOOKUP(C454,Lookup!B:C,2,0)</f>
        <v>San Pablo</v>
      </c>
    </row>
    <row r="455" spans="2:13">
      <c r="B455" s="50">
        <f t="shared" si="34"/>
        <v>45991</v>
      </c>
      <c r="C455">
        <v>3104105</v>
      </c>
      <c r="D455">
        <v>2445940</v>
      </c>
      <c r="E455" s="3">
        <v>222628</v>
      </c>
      <c r="F455" s="3">
        <v>17804.39</v>
      </c>
      <c r="G455" s="3">
        <v>16410.084664133014</v>
      </c>
      <c r="H455" s="10">
        <v>1394.3053358669847</v>
      </c>
      <c r="I455" s="10">
        <f t="shared" si="36"/>
        <v>1394.3053358669847</v>
      </c>
      <c r="J455" s="10">
        <f t="shared" si="35"/>
        <v>1394.3053358669847</v>
      </c>
      <c r="K455">
        <v>30</v>
      </c>
      <c r="M455" t="str">
        <f>VLOOKUP(C455,Lookup!B:C,2,0)</f>
        <v>San Pablo</v>
      </c>
    </row>
    <row r="456" spans="2:13">
      <c r="B456" s="50">
        <f t="shared" si="34"/>
        <v>45991</v>
      </c>
      <c r="C456">
        <v>3104105</v>
      </c>
      <c r="D456">
        <v>2445942</v>
      </c>
      <c r="E456" s="3">
        <v>111822.39999999999</v>
      </c>
      <c r="F456" s="3">
        <v>8978.66</v>
      </c>
      <c r="G456" s="3">
        <v>8327.8946641330149</v>
      </c>
      <c r="H456" s="10">
        <v>650.76533586698463</v>
      </c>
      <c r="I456" s="10">
        <f t="shared" si="36"/>
        <v>650.76533586698463</v>
      </c>
      <c r="J456" s="10">
        <f t="shared" si="35"/>
        <v>650.76533586698463</v>
      </c>
      <c r="K456">
        <v>30</v>
      </c>
      <c r="M456" t="str">
        <f>VLOOKUP(C456,Lookup!B:C,2,0)</f>
        <v>San Pablo</v>
      </c>
    </row>
    <row r="457" spans="2:13">
      <c r="B457" s="50">
        <f t="shared" si="34"/>
        <v>45991</v>
      </c>
      <c r="C457">
        <v>3104105</v>
      </c>
      <c r="D457">
        <v>2449825</v>
      </c>
      <c r="E457" s="3">
        <v>206483.6</v>
      </c>
      <c r="F457" s="3">
        <v>21476.880000000001</v>
      </c>
      <c r="G457" s="3">
        <v>19907.482664133015</v>
      </c>
      <c r="H457" s="10">
        <v>1569.3973358669848</v>
      </c>
      <c r="I457" s="10">
        <f t="shared" si="36"/>
        <v>1569.3973358669848</v>
      </c>
      <c r="J457" s="10">
        <f t="shared" si="35"/>
        <v>1569.3973358669848</v>
      </c>
      <c r="K457">
        <v>30</v>
      </c>
      <c r="M457" t="str">
        <f>VLOOKUP(C457,Lookup!B:C,2,0)</f>
        <v>San Pablo</v>
      </c>
    </row>
    <row r="458" spans="2:13">
      <c r="B458" s="50">
        <f t="shared" si="34"/>
        <v>45991</v>
      </c>
      <c r="C458">
        <v>3104105</v>
      </c>
      <c r="D458">
        <v>2449829</v>
      </c>
      <c r="E458" s="3">
        <v>218258.8</v>
      </c>
      <c r="F458" s="3">
        <v>23012.49</v>
      </c>
      <c r="G458" s="3">
        <v>21295.731864133017</v>
      </c>
      <c r="H458" s="10">
        <v>1716.7581358669847</v>
      </c>
      <c r="I458" s="10">
        <f t="shared" si="36"/>
        <v>1716.7581358669847</v>
      </c>
      <c r="J458" s="10">
        <f t="shared" si="35"/>
        <v>1716.7581358669847</v>
      </c>
      <c r="K458">
        <v>30</v>
      </c>
      <c r="M458" t="str">
        <f>VLOOKUP(C458,Lookup!B:C,2,0)</f>
        <v>San Pablo</v>
      </c>
    </row>
    <row r="459" spans="2:13">
      <c r="B459" s="50">
        <f t="shared" si="34"/>
        <v>45991</v>
      </c>
      <c r="C459">
        <v>3104105</v>
      </c>
      <c r="D459">
        <v>2449973</v>
      </c>
      <c r="E459" s="3">
        <v>264931</v>
      </c>
      <c r="F459" s="3">
        <v>28969.62</v>
      </c>
      <c r="G459" s="3">
        <v>26682.090664133015</v>
      </c>
      <c r="H459" s="10">
        <v>2287.5293358669846</v>
      </c>
      <c r="I459" s="10">
        <f t="shared" si="36"/>
        <v>2287.5293358669846</v>
      </c>
      <c r="J459" s="10">
        <f t="shared" si="35"/>
        <v>2287.5293358669846</v>
      </c>
      <c r="K459">
        <v>30</v>
      </c>
      <c r="M459" t="str">
        <f>VLOOKUP(C459,Lookup!B:C,2,0)</f>
        <v>San Pablo</v>
      </c>
    </row>
    <row r="460" spans="2:13">
      <c r="B460" s="50">
        <f t="shared" si="34"/>
        <v>45991</v>
      </c>
      <c r="C460">
        <v>3104105</v>
      </c>
      <c r="D460">
        <v>2449974</v>
      </c>
      <c r="E460" s="3">
        <v>641500</v>
      </c>
      <c r="F460" s="3">
        <v>84510</v>
      </c>
      <c r="G460" s="3">
        <v>77808.134664133016</v>
      </c>
      <c r="H460" s="10">
        <v>6701.8653358669844</v>
      </c>
      <c r="I460" s="10">
        <f t="shared" si="36"/>
        <v>6701.8653358669844</v>
      </c>
      <c r="J460" s="10">
        <f t="shared" si="35"/>
        <v>6701.8653358669844</v>
      </c>
      <c r="K460">
        <v>30</v>
      </c>
      <c r="M460" t="str">
        <f>VLOOKUP(C460,Lookup!B:C,2,0)</f>
        <v>San Pablo</v>
      </c>
    </row>
    <row r="461" spans="2:13">
      <c r="B461" s="50">
        <f t="shared" si="34"/>
        <v>45991</v>
      </c>
      <c r="C461">
        <v>3104105</v>
      </c>
      <c r="D461">
        <v>2449975</v>
      </c>
      <c r="E461" s="3">
        <v>681120</v>
      </c>
      <c r="F461" s="3">
        <v>45706.65</v>
      </c>
      <c r="G461" s="3">
        <v>42103.036664133018</v>
      </c>
      <c r="H461" s="10">
        <v>3603.6133358669845</v>
      </c>
      <c r="I461" s="10">
        <f t="shared" si="36"/>
        <v>3603.6133358669845</v>
      </c>
      <c r="J461" s="10">
        <f t="shared" si="35"/>
        <v>3603.6133358669845</v>
      </c>
      <c r="K461">
        <v>30</v>
      </c>
      <c r="M461" t="str">
        <f>VLOOKUP(C461,Lookup!B:C,2,0)</f>
        <v>San Pablo</v>
      </c>
    </row>
    <row r="462" spans="2:13">
      <c r="B462" s="50">
        <f t="shared" si="34"/>
        <v>45991</v>
      </c>
      <c r="C462">
        <v>3104105</v>
      </c>
      <c r="D462">
        <v>2451596</v>
      </c>
      <c r="E462" s="3">
        <v>222394.95</v>
      </c>
      <c r="F462" s="3">
        <v>22370.18</v>
      </c>
      <c r="G462" s="3">
        <v>20640.760264133016</v>
      </c>
      <c r="H462" s="10">
        <v>1729.4197358669846</v>
      </c>
      <c r="I462" s="10">
        <f t="shared" si="36"/>
        <v>1729.4197358669846</v>
      </c>
      <c r="J462" s="10">
        <f t="shared" si="35"/>
        <v>1729.4197358669846</v>
      </c>
      <c r="K462">
        <v>30</v>
      </c>
      <c r="M462" t="str">
        <f>VLOOKUP(C462,Lookup!B:C,2,0)</f>
        <v>San Pablo</v>
      </c>
    </row>
    <row r="463" spans="2:13">
      <c r="B463" s="50">
        <f t="shared" si="34"/>
        <v>45991</v>
      </c>
      <c r="C463">
        <v>3104105</v>
      </c>
      <c r="D463">
        <v>2451597</v>
      </c>
      <c r="E463" s="3">
        <v>127740.51</v>
      </c>
      <c r="F463" s="3">
        <v>15344.63</v>
      </c>
      <c r="G463" s="3">
        <v>14184.370264133015</v>
      </c>
      <c r="H463" s="10">
        <v>1160.2597358669846</v>
      </c>
      <c r="I463" s="10">
        <f t="shared" si="36"/>
        <v>1160.2597358669846</v>
      </c>
      <c r="J463" s="10">
        <f t="shared" si="35"/>
        <v>1160.2597358669846</v>
      </c>
      <c r="K463">
        <v>30</v>
      </c>
      <c r="M463" t="str">
        <f>VLOOKUP(C463,Lookup!B:C,2,0)</f>
        <v>San Pablo</v>
      </c>
    </row>
    <row r="464" spans="2:13">
      <c r="B464" s="50">
        <f t="shared" si="34"/>
        <v>45991</v>
      </c>
      <c r="C464">
        <v>3104105</v>
      </c>
      <c r="D464">
        <v>2451598</v>
      </c>
      <c r="E464" s="3">
        <v>149009.49</v>
      </c>
      <c r="F464" s="3">
        <v>15825.75</v>
      </c>
      <c r="G464" s="3">
        <v>14633.121464133015</v>
      </c>
      <c r="H464" s="10">
        <v>1192.6285358669847</v>
      </c>
      <c r="I464" s="10">
        <f t="shared" si="36"/>
        <v>1192.6285358669847</v>
      </c>
      <c r="J464" s="10">
        <f t="shared" si="35"/>
        <v>1192.6285358669847</v>
      </c>
      <c r="K464">
        <v>30</v>
      </c>
      <c r="M464" t="str">
        <f>VLOOKUP(C464,Lookup!B:C,2,0)</f>
        <v>San Pablo</v>
      </c>
    </row>
    <row r="465" spans="2:13">
      <c r="B465" s="50">
        <f t="shared" si="34"/>
        <v>45991</v>
      </c>
      <c r="C465">
        <v>3104105</v>
      </c>
      <c r="D465">
        <v>2451599</v>
      </c>
      <c r="E465" s="3">
        <v>217648.35</v>
      </c>
      <c r="F465" s="3">
        <v>18814.97</v>
      </c>
      <c r="G465" s="3">
        <v>17384.619864133016</v>
      </c>
      <c r="H465" s="10">
        <v>1430.3501358669848</v>
      </c>
      <c r="I465" s="10">
        <f t="shared" si="36"/>
        <v>1430.3501358669848</v>
      </c>
      <c r="J465" s="10">
        <f t="shared" si="35"/>
        <v>1430.3501358669848</v>
      </c>
      <c r="K465">
        <v>30</v>
      </c>
      <c r="M465" t="str">
        <f>VLOOKUP(C465,Lookup!B:C,2,0)</f>
        <v>San Pablo</v>
      </c>
    </row>
    <row r="466" spans="2:13">
      <c r="B466" s="50">
        <f t="shared" si="34"/>
        <v>45991</v>
      </c>
      <c r="C466">
        <v>3104105</v>
      </c>
      <c r="D466">
        <v>2451600</v>
      </c>
      <c r="E466" s="3">
        <v>201162.15</v>
      </c>
      <c r="F466" s="3">
        <v>20830.55</v>
      </c>
      <c r="G466" s="3">
        <v>19259.671064133014</v>
      </c>
      <c r="H466" s="10">
        <v>1570.8789358669844</v>
      </c>
      <c r="I466" s="10">
        <f t="shared" si="36"/>
        <v>1570.8789358669844</v>
      </c>
      <c r="J466" s="10">
        <f t="shared" si="35"/>
        <v>1570.8789358669844</v>
      </c>
      <c r="K466">
        <v>30</v>
      </c>
      <c r="M466" t="str">
        <f>VLOOKUP(C466,Lookup!B:C,2,0)</f>
        <v>San Pablo</v>
      </c>
    </row>
    <row r="467" spans="2:13">
      <c r="B467" s="50">
        <f t="shared" si="34"/>
        <v>45991</v>
      </c>
      <c r="C467">
        <v>3104105</v>
      </c>
      <c r="D467">
        <v>2451601</v>
      </c>
      <c r="E467" s="3">
        <v>124954.38</v>
      </c>
      <c r="F467" s="3">
        <v>11297</v>
      </c>
      <c r="G467" s="3">
        <v>10449.741864133015</v>
      </c>
      <c r="H467" s="10">
        <v>847.25813586698462</v>
      </c>
      <c r="I467" s="10">
        <f t="shared" si="36"/>
        <v>847.25813586698462</v>
      </c>
      <c r="J467" s="10">
        <f t="shared" si="35"/>
        <v>847.25813586698462</v>
      </c>
      <c r="K467">
        <v>30</v>
      </c>
      <c r="M467" t="str">
        <f>VLOOKUP(C467,Lookup!B:C,2,0)</f>
        <v>San Pablo</v>
      </c>
    </row>
    <row r="468" spans="2:13">
      <c r="B468" s="50">
        <f t="shared" si="34"/>
        <v>45991</v>
      </c>
      <c r="C468">
        <v>3104105</v>
      </c>
      <c r="D468">
        <v>2451602</v>
      </c>
      <c r="E468" s="3">
        <v>128530.53</v>
      </c>
      <c r="F468" s="3">
        <v>6814.63</v>
      </c>
      <c r="G468" s="3">
        <v>6348.9974641330155</v>
      </c>
      <c r="H468" s="10">
        <v>465.63253586698465</v>
      </c>
      <c r="I468" s="10">
        <f t="shared" si="36"/>
        <v>465.63253586698465</v>
      </c>
      <c r="J468" s="10">
        <f t="shared" si="35"/>
        <v>465.63253586698465</v>
      </c>
      <c r="K468">
        <v>30</v>
      </c>
      <c r="M468" t="str">
        <f>VLOOKUP(C468,Lookup!B:C,2,0)</f>
        <v>San Pablo</v>
      </c>
    </row>
    <row r="469" spans="2:13">
      <c r="B469" s="50">
        <f t="shared" si="34"/>
        <v>45991</v>
      </c>
      <c r="C469">
        <v>3104105</v>
      </c>
      <c r="D469">
        <v>2451603</v>
      </c>
      <c r="E469" s="3">
        <v>227042.73</v>
      </c>
      <c r="F469" s="3">
        <v>17717.12</v>
      </c>
      <c r="G469" s="3">
        <v>16367.482664133015</v>
      </c>
      <c r="H469" s="10">
        <v>1349.6373358669848</v>
      </c>
      <c r="I469" s="10">
        <f t="shared" si="36"/>
        <v>1349.6373358669848</v>
      </c>
      <c r="J469" s="10">
        <f t="shared" si="35"/>
        <v>1349.6373358669848</v>
      </c>
      <c r="K469">
        <v>30</v>
      </c>
      <c r="M469" t="str">
        <f>VLOOKUP(C469,Lookup!B:C,2,0)</f>
        <v>San Pablo</v>
      </c>
    </row>
    <row r="470" spans="2:13">
      <c r="B470" s="50">
        <f t="shared" si="34"/>
        <v>45991</v>
      </c>
      <c r="C470">
        <v>3104105</v>
      </c>
      <c r="D470">
        <v>2452148</v>
      </c>
      <c r="E470" s="3">
        <v>107265.5</v>
      </c>
      <c r="F470" s="3">
        <v>8415.58</v>
      </c>
      <c r="G470" s="3">
        <v>7799.9066641330155</v>
      </c>
      <c r="H470" s="10">
        <v>615.67333586698464</v>
      </c>
      <c r="I470" s="10">
        <f t="shared" si="36"/>
        <v>615.67333586698464</v>
      </c>
      <c r="J470" s="10">
        <f t="shared" si="35"/>
        <v>615.67333586698464</v>
      </c>
      <c r="K470">
        <v>30</v>
      </c>
      <c r="M470" t="str">
        <f>VLOOKUP(C470,Lookup!B:C,2,0)</f>
        <v>San Pablo</v>
      </c>
    </row>
    <row r="471" spans="2:13">
      <c r="B471" s="50">
        <f t="shared" si="34"/>
        <v>45991</v>
      </c>
      <c r="C471">
        <v>3104105</v>
      </c>
      <c r="D471">
        <v>2452465</v>
      </c>
      <c r="E471" s="3">
        <v>256572</v>
      </c>
      <c r="F471" s="3">
        <v>22697.82</v>
      </c>
      <c r="G471" s="3">
        <v>20933.734664133015</v>
      </c>
      <c r="H471" s="10">
        <v>1764.0853358669847</v>
      </c>
      <c r="I471" s="10">
        <f t="shared" si="36"/>
        <v>1764.0853358669847</v>
      </c>
      <c r="J471" s="10">
        <f t="shared" si="35"/>
        <v>1764.0853358669847</v>
      </c>
      <c r="K471">
        <v>30</v>
      </c>
      <c r="M471" t="str">
        <f>VLOOKUP(C471,Lookup!B:C,2,0)</f>
        <v>San Pablo</v>
      </c>
    </row>
    <row r="472" spans="2:13">
      <c r="B472" s="50">
        <f t="shared" si="34"/>
        <v>45991</v>
      </c>
      <c r="C472">
        <v>3104105</v>
      </c>
      <c r="D472">
        <v>2452466</v>
      </c>
      <c r="E472" s="3">
        <v>156925.20000000001</v>
      </c>
      <c r="F472" s="3">
        <v>20273.82</v>
      </c>
      <c r="G472" s="3">
        <v>18704.922664133013</v>
      </c>
      <c r="H472" s="10">
        <v>1568.8973358669848</v>
      </c>
      <c r="I472" s="10">
        <f t="shared" si="36"/>
        <v>1568.8973358669848</v>
      </c>
      <c r="J472" s="10">
        <f t="shared" si="35"/>
        <v>1568.8973358669848</v>
      </c>
      <c r="K472">
        <v>30</v>
      </c>
      <c r="M472" t="str">
        <f>VLOOKUP(C472,Lookup!B:C,2,0)</f>
        <v>San Pablo</v>
      </c>
    </row>
    <row r="473" spans="2:13">
      <c r="B473" s="50">
        <f t="shared" si="34"/>
        <v>45991</v>
      </c>
      <c r="C473">
        <v>3104105</v>
      </c>
      <c r="D473">
        <v>2452467</v>
      </c>
      <c r="E473" s="3">
        <v>222626.25</v>
      </c>
      <c r="F473" s="3">
        <v>20931.93</v>
      </c>
      <c r="G473" s="3">
        <v>19274.496664133017</v>
      </c>
      <c r="H473" s="10">
        <v>1657.4333358669846</v>
      </c>
      <c r="I473" s="10">
        <f t="shared" si="36"/>
        <v>1657.4333358669846</v>
      </c>
      <c r="J473" s="10">
        <f t="shared" si="35"/>
        <v>1657.4333358669846</v>
      </c>
      <c r="K473">
        <v>30</v>
      </c>
      <c r="M473" t="str">
        <f>VLOOKUP(C473,Lookup!B:C,2,0)</f>
        <v>San Pablo</v>
      </c>
    </row>
    <row r="474" spans="2:13">
      <c r="B474" s="50">
        <f t="shared" si="34"/>
        <v>45991</v>
      </c>
      <c r="C474">
        <v>3104105</v>
      </c>
      <c r="D474">
        <v>2453907</v>
      </c>
      <c r="E474" s="3">
        <v>282917.34000000003</v>
      </c>
      <c r="F474" s="3">
        <v>25120.76</v>
      </c>
      <c r="G474" s="3">
        <v>23195.901864133015</v>
      </c>
      <c r="H474" s="10">
        <v>1924.8581358669846</v>
      </c>
      <c r="I474" s="10">
        <f t="shared" si="36"/>
        <v>1924.8581358669846</v>
      </c>
      <c r="J474" s="10">
        <f t="shared" si="35"/>
        <v>1924.8581358669846</v>
      </c>
      <c r="K474">
        <v>30</v>
      </c>
      <c r="M474" t="str">
        <f>VLOOKUP(C474,Lookup!B:C,2,0)</f>
        <v>San Pablo</v>
      </c>
    </row>
    <row r="475" spans="2:13">
      <c r="B475" s="50">
        <f t="shared" si="34"/>
        <v>45991</v>
      </c>
      <c r="C475">
        <v>3104105</v>
      </c>
      <c r="D475">
        <v>2453908</v>
      </c>
      <c r="E475" s="3">
        <v>242730</v>
      </c>
      <c r="F475" s="3">
        <v>19055.099999999999</v>
      </c>
      <c r="G475" s="3">
        <v>17598.685064133013</v>
      </c>
      <c r="H475" s="10">
        <v>1456.4149358669845</v>
      </c>
      <c r="I475" s="10">
        <f t="shared" si="36"/>
        <v>1456.4149358669845</v>
      </c>
      <c r="J475" s="10">
        <f t="shared" si="35"/>
        <v>1456.4149358669845</v>
      </c>
      <c r="K475">
        <v>30</v>
      </c>
      <c r="M475" t="str">
        <f>VLOOKUP(C475,Lookup!B:C,2,0)</f>
        <v>San Pablo</v>
      </c>
    </row>
    <row r="476" spans="2:13">
      <c r="B476" s="50">
        <f t="shared" si="34"/>
        <v>45991</v>
      </c>
      <c r="C476">
        <v>3104105</v>
      </c>
      <c r="D476">
        <v>2453909</v>
      </c>
      <c r="E476" s="3">
        <v>292013.46000000002</v>
      </c>
      <c r="F476" s="3">
        <v>27205.99</v>
      </c>
      <c r="G476" s="3">
        <v>25084.355064133018</v>
      </c>
      <c r="H476" s="10">
        <v>2121.6349358669845</v>
      </c>
      <c r="I476" s="10">
        <f t="shared" si="36"/>
        <v>2121.6349358669845</v>
      </c>
      <c r="J476" s="10">
        <f t="shared" si="35"/>
        <v>2121.6349358669845</v>
      </c>
      <c r="K476">
        <v>30</v>
      </c>
      <c r="M476" t="str">
        <f>VLOOKUP(C476,Lookup!B:C,2,0)</f>
        <v>San Pablo</v>
      </c>
    </row>
    <row r="477" spans="2:13">
      <c r="B477" s="50">
        <f t="shared" si="34"/>
        <v>45991</v>
      </c>
      <c r="C477">
        <v>3104105</v>
      </c>
      <c r="D477">
        <v>2453910</v>
      </c>
      <c r="E477" s="3">
        <v>292040.01</v>
      </c>
      <c r="F477" s="3">
        <v>25469.83</v>
      </c>
      <c r="G477" s="3">
        <v>23486.852664133017</v>
      </c>
      <c r="H477" s="10">
        <v>1982.9773358669847</v>
      </c>
      <c r="I477" s="10">
        <f t="shared" si="36"/>
        <v>1982.9773358669847</v>
      </c>
      <c r="J477" s="10">
        <f t="shared" si="35"/>
        <v>1982.9773358669847</v>
      </c>
      <c r="K477">
        <v>30</v>
      </c>
      <c r="M477" t="str">
        <f>VLOOKUP(C477,Lookup!B:C,2,0)</f>
        <v>San Pablo</v>
      </c>
    </row>
    <row r="478" spans="2:13">
      <c r="B478" s="50">
        <f t="shared" si="34"/>
        <v>45991</v>
      </c>
      <c r="C478">
        <v>3104105</v>
      </c>
      <c r="D478">
        <v>2453911</v>
      </c>
      <c r="E478" s="3">
        <v>241285.41</v>
      </c>
      <c r="F478" s="3">
        <v>19780.22</v>
      </c>
      <c r="G478" s="3">
        <v>18238.750664133018</v>
      </c>
      <c r="H478" s="10">
        <v>1541.4693358669847</v>
      </c>
      <c r="I478" s="10">
        <f t="shared" si="36"/>
        <v>1541.4693358669847</v>
      </c>
      <c r="J478" s="10">
        <f t="shared" si="35"/>
        <v>1541.4693358669847</v>
      </c>
      <c r="K478">
        <v>30</v>
      </c>
      <c r="M478" t="str">
        <f>VLOOKUP(C478,Lookup!B:C,2,0)</f>
        <v>San Pablo</v>
      </c>
    </row>
    <row r="479" spans="2:13">
      <c r="B479" s="50">
        <f t="shared" si="34"/>
        <v>45991</v>
      </c>
      <c r="C479">
        <v>3104105</v>
      </c>
      <c r="D479">
        <v>2453912</v>
      </c>
      <c r="E479" s="3">
        <v>292653.99</v>
      </c>
      <c r="F479" s="3">
        <v>22634.14</v>
      </c>
      <c r="G479" s="3">
        <v>20878.647464133013</v>
      </c>
      <c r="H479" s="10">
        <v>1755.4925358669846</v>
      </c>
      <c r="I479" s="10">
        <f t="shared" si="36"/>
        <v>1755.4925358669846</v>
      </c>
      <c r="J479" s="10">
        <f t="shared" si="35"/>
        <v>1755.4925358669846</v>
      </c>
      <c r="K479">
        <v>30</v>
      </c>
      <c r="M479" t="str">
        <f>VLOOKUP(C479,Lookup!B:C,2,0)</f>
        <v>San Pablo</v>
      </c>
    </row>
    <row r="480" spans="2:13">
      <c r="B480" s="50">
        <f t="shared" si="34"/>
        <v>45991</v>
      </c>
      <c r="C480">
        <v>3104105</v>
      </c>
      <c r="D480">
        <v>2453913</v>
      </c>
      <c r="E480" s="3">
        <v>250965.09</v>
      </c>
      <c r="F480" s="3">
        <v>26745.8</v>
      </c>
      <c r="G480" s="3">
        <v>24657.769864133013</v>
      </c>
      <c r="H480" s="10">
        <v>2088.0301358669849</v>
      </c>
      <c r="I480" s="10">
        <f t="shared" si="36"/>
        <v>2088.0301358669849</v>
      </c>
      <c r="J480" s="10">
        <f t="shared" si="35"/>
        <v>2088.0301358669849</v>
      </c>
      <c r="K480">
        <v>30</v>
      </c>
      <c r="M480" t="str">
        <f>VLOOKUP(C480,Lookup!B:C,2,0)</f>
        <v>San Pablo</v>
      </c>
    </row>
    <row r="481" spans="2:13">
      <c r="B481" s="50">
        <f t="shared" si="34"/>
        <v>45991</v>
      </c>
      <c r="C481">
        <v>3104105</v>
      </c>
      <c r="D481">
        <v>2453917</v>
      </c>
      <c r="E481" s="3">
        <v>392260.5</v>
      </c>
      <c r="F481" s="3">
        <v>18216.77</v>
      </c>
      <c r="G481" s="3">
        <v>16786.408664133014</v>
      </c>
      <c r="H481" s="10">
        <v>1430.3613358669847</v>
      </c>
      <c r="I481" s="10">
        <f t="shared" si="36"/>
        <v>1430.3613358669847</v>
      </c>
      <c r="J481" s="10">
        <f t="shared" si="35"/>
        <v>1430.3613358669847</v>
      </c>
      <c r="K481">
        <v>30</v>
      </c>
      <c r="M481" t="str">
        <f>VLOOKUP(C481,Lookup!B:C,2,0)</f>
        <v>San Pablo</v>
      </c>
    </row>
    <row r="482" spans="2:13">
      <c r="B482" s="50">
        <f t="shared" si="34"/>
        <v>45991</v>
      </c>
      <c r="C482">
        <v>3104105</v>
      </c>
      <c r="D482">
        <v>2453918</v>
      </c>
      <c r="E482" s="3">
        <v>379415.61</v>
      </c>
      <c r="F482" s="3">
        <v>38221.230000000003</v>
      </c>
      <c r="G482" s="3">
        <v>35215.524664133016</v>
      </c>
      <c r="H482" s="10">
        <v>3005.7053358669846</v>
      </c>
      <c r="I482" s="10">
        <f t="shared" si="36"/>
        <v>3005.7053358669846</v>
      </c>
      <c r="J482" s="10">
        <f t="shared" si="35"/>
        <v>3005.7053358669846</v>
      </c>
      <c r="K482">
        <v>30</v>
      </c>
      <c r="M482" t="str">
        <f>VLOOKUP(C482,Lookup!B:C,2,0)</f>
        <v>San Pablo</v>
      </c>
    </row>
    <row r="483" spans="2:13">
      <c r="B483" s="50">
        <f t="shared" si="34"/>
        <v>45991</v>
      </c>
      <c r="C483">
        <v>3104105</v>
      </c>
      <c r="D483">
        <v>2453919</v>
      </c>
      <c r="E483" s="3">
        <v>384609.96</v>
      </c>
      <c r="F483" s="3">
        <v>28563.94</v>
      </c>
      <c r="G483" s="3">
        <v>26316.788264133014</v>
      </c>
      <c r="H483" s="10">
        <v>2247.1517358669848</v>
      </c>
      <c r="I483" s="10">
        <f t="shared" si="36"/>
        <v>2247.1517358669848</v>
      </c>
      <c r="J483" s="10">
        <f t="shared" si="35"/>
        <v>2247.1517358669848</v>
      </c>
      <c r="K483">
        <v>30</v>
      </c>
      <c r="M483" t="str">
        <f>VLOOKUP(C483,Lookup!B:C,2,0)</f>
        <v>San Pablo</v>
      </c>
    </row>
    <row r="484" spans="2:13">
      <c r="B484" s="50">
        <f t="shared" si="34"/>
        <v>45991</v>
      </c>
      <c r="C484">
        <v>3104105</v>
      </c>
      <c r="D484">
        <v>2453920</v>
      </c>
      <c r="E484" s="3">
        <v>367734.6</v>
      </c>
      <c r="F484" s="3">
        <v>23605.01</v>
      </c>
      <c r="G484" s="3">
        <v>21741.837464133016</v>
      </c>
      <c r="H484" s="10">
        <v>1863.1725358669846</v>
      </c>
      <c r="I484" s="10">
        <f t="shared" si="36"/>
        <v>1863.1725358669846</v>
      </c>
      <c r="J484" s="10">
        <f t="shared" si="35"/>
        <v>1863.1725358669846</v>
      </c>
      <c r="K484">
        <v>30</v>
      </c>
      <c r="M484" t="str">
        <f>VLOOKUP(C484,Lookup!B:C,2,0)</f>
        <v>San Pablo</v>
      </c>
    </row>
    <row r="485" spans="2:13">
      <c r="B485" s="50">
        <f t="shared" si="34"/>
        <v>45991</v>
      </c>
      <c r="C485">
        <v>3104105</v>
      </c>
      <c r="D485">
        <v>2453921</v>
      </c>
      <c r="E485" s="3">
        <v>375229.08</v>
      </c>
      <c r="F485" s="3">
        <v>32604.71</v>
      </c>
      <c r="G485" s="3">
        <v>30030.519864133013</v>
      </c>
      <c r="H485" s="10">
        <v>2574.1901358669843</v>
      </c>
      <c r="I485" s="10">
        <f t="shared" si="36"/>
        <v>2574.1901358669843</v>
      </c>
      <c r="J485" s="10">
        <f t="shared" si="35"/>
        <v>2574.1901358669843</v>
      </c>
      <c r="K485">
        <v>30</v>
      </c>
      <c r="M485" t="str">
        <f>VLOOKUP(C485,Lookup!B:C,2,0)</f>
        <v>San Pablo</v>
      </c>
    </row>
    <row r="486" spans="2:13">
      <c r="B486" s="50">
        <f t="shared" si="34"/>
        <v>45991</v>
      </c>
      <c r="C486">
        <v>3104105</v>
      </c>
      <c r="D486">
        <v>2453922</v>
      </c>
      <c r="E486" s="3">
        <v>351864.99</v>
      </c>
      <c r="F486" s="3">
        <v>26659.14</v>
      </c>
      <c r="G486" s="3">
        <v>24548.058664133016</v>
      </c>
      <c r="H486" s="10">
        <v>2111.0813358669848</v>
      </c>
      <c r="I486" s="10">
        <f t="shared" si="36"/>
        <v>2111.0813358669848</v>
      </c>
      <c r="J486" s="10">
        <f t="shared" si="35"/>
        <v>2111.0813358669848</v>
      </c>
      <c r="K486">
        <v>30</v>
      </c>
      <c r="M486" t="str">
        <f>VLOOKUP(C486,Lookup!B:C,2,0)</f>
        <v>San Pablo</v>
      </c>
    </row>
    <row r="487" spans="2:13">
      <c r="B487" s="50">
        <f t="shared" si="34"/>
        <v>45991</v>
      </c>
      <c r="C487">
        <v>3104105</v>
      </c>
      <c r="D487">
        <v>2453923</v>
      </c>
      <c r="E487" s="3">
        <v>441182.16</v>
      </c>
      <c r="F487" s="3">
        <v>28998.15</v>
      </c>
      <c r="G487" s="3">
        <v>26716.288664133019</v>
      </c>
      <c r="H487" s="10">
        <v>2281.8613358669845</v>
      </c>
      <c r="I487" s="10">
        <f t="shared" si="36"/>
        <v>2281.8613358669845</v>
      </c>
      <c r="J487" s="10">
        <f t="shared" si="35"/>
        <v>2281.8613358669845</v>
      </c>
      <c r="K487">
        <v>30</v>
      </c>
      <c r="M487" t="str">
        <f>VLOOKUP(C487,Lookup!B:C,2,0)</f>
        <v>San Pablo</v>
      </c>
    </row>
    <row r="488" spans="2:13">
      <c r="B488" s="50">
        <f t="shared" si="34"/>
        <v>45991</v>
      </c>
      <c r="C488">
        <v>3104105</v>
      </c>
      <c r="D488">
        <v>2453924</v>
      </c>
      <c r="E488" s="3">
        <v>413076.69</v>
      </c>
      <c r="F488" s="3">
        <v>36846.79</v>
      </c>
      <c r="G488" s="3">
        <v>33970.063864133015</v>
      </c>
      <c r="H488" s="10">
        <v>2876.7261358669848</v>
      </c>
      <c r="I488" s="10">
        <f t="shared" si="36"/>
        <v>2876.7261358669848</v>
      </c>
      <c r="J488" s="10">
        <f t="shared" si="35"/>
        <v>2876.7261358669848</v>
      </c>
      <c r="K488">
        <v>30</v>
      </c>
      <c r="M488" t="str">
        <f>VLOOKUP(C488,Lookup!B:C,2,0)</f>
        <v>San Pablo</v>
      </c>
    </row>
    <row r="489" spans="2:13">
      <c r="B489" s="50">
        <f t="shared" si="34"/>
        <v>45991</v>
      </c>
      <c r="C489">
        <v>3104105</v>
      </c>
      <c r="D489">
        <v>2455554</v>
      </c>
      <c r="E489" s="3">
        <v>267414</v>
      </c>
      <c r="F489" s="3">
        <v>20735.32</v>
      </c>
      <c r="G489" s="3">
        <v>19135.466664133015</v>
      </c>
      <c r="H489" s="10">
        <v>1599.8533358669845</v>
      </c>
      <c r="I489" s="10">
        <f t="shared" si="36"/>
        <v>1599.8533358669845</v>
      </c>
      <c r="J489" s="10">
        <f t="shared" si="35"/>
        <v>1599.8533358669845</v>
      </c>
      <c r="K489">
        <v>30</v>
      </c>
      <c r="M489" t="str">
        <f>VLOOKUP(C489,Lookup!B:C,2,0)</f>
        <v>San Pablo</v>
      </c>
    </row>
    <row r="490" spans="2:13">
      <c r="B490" s="50">
        <f t="shared" si="34"/>
        <v>45991</v>
      </c>
      <c r="C490">
        <v>3104105</v>
      </c>
      <c r="D490">
        <v>2458128</v>
      </c>
      <c r="E490" s="3">
        <v>156194.72</v>
      </c>
      <c r="F490" s="3">
        <v>17152.14</v>
      </c>
      <c r="G490" s="3">
        <v>15843.333864133016</v>
      </c>
      <c r="H490" s="10">
        <v>1308.8061358669845</v>
      </c>
      <c r="I490" s="10">
        <f t="shared" si="36"/>
        <v>1308.8061358669845</v>
      </c>
      <c r="J490" s="10">
        <f t="shared" si="35"/>
        <v>1308.8061358669845</v>
      </c>
      <c r="K490">
        <v>30</v>
      </c>
      <c r="M490" t="str">
        <f>VLOOKUP(C490,Lookup!B:C,2,0)</f>
        <v>San Pablo</v>
      </c>
    </row>
    <row r="491" spans="2:13">
      <c r="B491" s="50">
        <f t="shared" si="34"/>
        <v>45991</v>
      </c>
      <c r="C491">
        <v>3104105</v>
      </c>
      <c r="D491">
        <v>2459317</v>
      </c>
      <c r="E491" s="3">
        <v>21430.44</v>
      </c>
      <c r="F491" s="3">
        <v>2168.39</v>
      </c>
      <c r="G491" s="3">
        <v>2223.7246641330153</v>
      </c>
      <c r="H491" s="10">
        <v>-55.334664133015409</v>
      </c>
      <c r="I491" s="10">
        <f t="shared" si="36"/>
        <v>-55.334664133015409</v>
      </c>
      <c r="J491" s="10">
        <f t="shared" si="35"/>
        <v>-55.334664133015409</v>
      </c>
      <c r="K491">
        <v>3</v>
      </c>
      <c r="M491" t="str">
        <f>VLOOKUP(C491,Lookup!B:C,2,0)</f>
        <v>San Pablo</v>
      </c>
    </row>
    <row r="492" spans="2:13">
      <c r="B492" s="50">
        <f t="shared" si="34"/>
        <v>45991</v>
      </c>
      <c r="C492">
        <v>3104105</v>
      </c>
      <c r="D492">
        <v>2459318</v>
      </c>
      <c r="E492" s="3">
        <v>21977.64</v>
      </c>
      <c r="F492" s="3">
        <v>1295.4100000000001</v>
      </c>
      <c r="G492" s="3">
        <v>1162.3934641330154</v>
      </c>
      <c r="H492" s="10">
        <v>133.01653586698461</v>
      </c>
      <c r="I492" s="10">
        <f t="shared" si="36"/>
        <v>133.01653586698461</v>
      </c>
      <c r="J492" s="10">
        <f t="shared" si="35"/>
        <v>133.01653586698461</v>
      </c>
      <c r="K492">
        <v>3</v>
      </c>
      <c r="M492" t="str">
        <f>VLOOKUP(C492,Lookup!B:C,2,0)</f>
        <v>San Pablo</v>
      </c>
    </row>
    <row r="493" spans="2:13">
      <c r="B493" s="50">
        <f t="shared" si="34"/>
        <v>45991</v>
      </c>
      <c r="C493">
        <v>3104105</v>
      </c>
      <c r="D493">
        <v>2459319</v>
      </c>
      <c r="E493" s="3">
        <v>21897.54</v>
      </c>
      <c r="F493" s="3">
        <v>649.44000000000096</v>
      </c>
      <c r="G493" s="3">
        <v>560.98346413301635</v>
      </c>
      <c r="H493" s="10">
        <v>88.456535866984595</v>
      </c>
      <c r="I493" s="10">
        <f t="shared" si="36"/>
        <v>88.456535866984595</v>
      </c>
      <c r="J493" s="10">
        <f t="shared" si="35"/>
        <v>88.456535866984595</v>
      </c>
      <c r="K493">
        <v>3</v>
      </c>
      <c r="M493" t="str">
        <f>VLOOKUP(C493,Lookup!B:C,2,0)</f>
        <v>San Pablo</v>
      </c>
    </row>
    <row r="494" spans="2:13">
      <c r="B494" s="50">
        <f t="shared" si="34"/>
        <v>45991</v>
      </c>
      <c r="C494">
        <v>3104105</v>
      </c>
      <c r="D494">
        <v>2459320</v>
      </c>
      <c r="E494" s="3">
        <v>29636.46</v>
      </c>
      <c r="F494" s="3">
        <v>2036.34</v>
      </c>
      <c r="G494" s="3">
        <v>1922.3242641330153</v>
      </c>
      <c r="H494" s="10">
        <v>114.0157358669846</v>
      </c>
      <c r="I494" s="10">
        <f t="shared" si="36"/>
        <v>114.0157358669846</v>
      </c>
      <c r="J494" s="10">
        <f t="shared" si="35"/>
        <v>114.0157358669846</v>
      </c>
      <c r="K494">
        <v>3</v>
      </c>
      <c r="M494" t="str">
        <f>VLOOKUP(C494,Lookup!B:C,2,0)</f>
        <v>San Pablo</v>
      </c>
    </row>
    <row r="495" spans="2:13">
      <c r="B495" s="50">
        <f t="shared" si="34"/>
        <v>45991</v>
      </c>
      <c r="C495">
        <v>3104105</v>
      </c>
      <c r="D495">
        <v>2459321</v>
      </c>
      <c r="E495" s="3">
        <v>20534.04</v>
      </c>
      <c r="F495" s="3">
        <v>242.509999999999</v>
      </c>
      <c r="G495" s="3">
        <v>277.35506413301442</v>
      </c>
      <c r="H495" s="10">
        <v>-34.845064133015413</v>
      </c>
      <c r="I495" s="10">
        <f t="shared" si="36"/>
        <v>-34.845064133015413</v>
      </c>
      <c r="J495" s="10">
        <f t="shared" si="35"/>
        <v>-34.845064133015413</v>
      </c>
      <c r="K495">
        <v>3</v>
      </c>
      <c r="M495" t="str">
        <f>VLOOKUP(C495,Lookup!B:C,2,0)</f>
        <v>San Pablo</v>
      </c>
    </row>
    <row r="496" spans="2:13">
      <c r="B496" s="50">
        <f t="shared" si="34"/>
        <v>45991</v>
      </c>
      <c r="C496">
        <v>3104105</v>
      </c>
      <c r="D496">
        <v>2459322</v>
      </c>
      <c r="E496" s="3">
        <v>32370.12</v>
      </c>
      <c r="F496" s="3">
        <v>2291.87</v>
      </c>
      <c r="G496" s="3">
        <v>2155.4230641330155</v>
      </c>
      <c r="H496" s="10">
        <v>136.44693586698457</v>
      </c>
      <c r="I496" s="10">
        <f t="shared" si="36"/>
        <v>136.44693586698457</v>
      </c>
      <c r="J496" s="10">
        <f t="shared" si="35"/>
        <v>136.44693586698457</v>
      </c>
      <c r="K496">
        <v>3</v>
      </c>
      <c r="M496" t="str">
        <f>VLOOKUP(C496,Lookup!B:C,2,0)</f>
        <v>San Pablo</v>
      </c>
    </row>
    <row r="497" spans="2:13">
      <c r="B497" s="50">
        <f t="shared" si="34"/>
        <v>45991</v>
      </c>
      <c r="C497">
        <v>3104105</v>
      </c>
      <c r="D497">
        <v>2470763</v>
      </c>
      <c r="E497" s="3">
        <v>256883.20000000001</v>
      </c>
      <c r="F497" s="3">
        <v>20761.900000000001</v>
      </c>
      <c r="G497" s="3">
        <v>19227.679464133016</v>
      </c>
      <c r="H497" s="10">
        <v>1534.2205358669846</v>
      </c>
      <c r="I497" s="10">
        <f t="shared" si="36"/>
        <v>1534.2205358669846</v>
      </c>
      <c r="J497" s="10">
        <f t="shared" si="35"/>
        <v>1534.2205358669846</v>
      </c>
      <c r="K497">
        <v>30</v>
      </c>
      <c r="M497" t="str">
        <f>VLOOKUP(C497,Lookup!B:C,2,0)</f>
        <v>San Pablo</v>
      </c>
    </row>
    <row r="498" spans="2:13">
      <c r="B498" s="50">
        <f t="shared" si="34"/>
        <v>45991</v>
      </c>
      <c r="C498">
        <v>3104105</v>
      </c>
      <c r="D498">
        <v>2470942</v>
      </c>
      <c r="E498" s="3">
        <v>295106</v>
      </c>
      <c r="F498" s="3">
        <v>27154.87</v>
      </c>
      <c r="G498" s="3">
        <v>25011.840664133015</v>
      </c>
      <c r="H498" s="10">
        <v>2143.0293358669846</v>
      </c>
      <c r="I498" s="10">
        <f t="shared" si="36"/>
        <v>2143.0293358669846</v>
      </c>
      <c r="J498" s="10">
        <f t="shared" si="35"/>
        <v>2143.0293358669846</v>
      </c>
      <c r="K498">
        <v>30</v>
      </c>
      <c r="M498" t="str">
        <f>VLOOKUP(C498,Lookup!B:C,2,0)</f>
        <v>San Pablo</v>
      </c>
    </row>
    <row r="499" spans="2:13">
      <c r="B499" s="50">
        <f t="shared" si="34"/>
        <v>45991</v>
      </c>
      <c r="C499">
        <v>3104105</v>
      </c>
      <c r="D499">
        <v>2470945</v>
      </c>
      <c r="E499" s="3">
        <v>287102.90000000002</v>
      </c>
      <c r="F499" s="3">
        <v>29480.720000000001</v>
      </c>
      <c r="G499" s="3">
        <v>27215.048264133016</v>
      </c>
      <c r="H499" s="10">
        <v>2265.6717358669848</v>
      </c>
      <c r="I499" s="10">
        <f t="shared" si="36"/>
        <v>2265.6717358669848</v>
      </c>
      <c r="J499" s="10">
        <f t="shared" si="35"/>
        <v>2265.6717358669848</v>
      </c>
      <c r="K499">
        <v>30</v>
      </c>
      <c r="M499" t="str">
        <f>VLOOKUP(C499,Lookup!B:C,2,0)</f>
        <v>San Pablo</v>
      </c>
    </row>
    <row r="500" spans="2:13">
      <c r="B500" s="50">
        <f t="shared" si="34"/>
        <v>45991</v>
      </c>
      <c r="C500">
        <v>3104105</v>
      </c>
      <c r="D500">
        <v>2475710</v>
      </c>
      <c r="E500" s="3">
        <v>295411.20000000001</v>
      </c>
      <c r="F500" s="3">
        <v>16019.7</v>
      </c>
      <c r="G500" s="3">
        <v>14767.690664133017</v>
      </c>
      <c r="H500" s="10">
        <v>1252.0093358669847</v>
      </c>
      <c r="I500" s="10">
        <f t="shared" si="36"/>
        <v>1252.0093358669847</v>
      </c>
      <c r="J500" s="10">
        <f t="shared" si="35"/>
        <v>1252.0093358669847</v>
      </c>
      <c r="K500">
        <v>30</v>
      </c>
      <c r="M500" t="str">
        <f>VLOOKUP(C500,Lookup!B:C,2,0)</f>
        <v>San Pablo</v>
      </c>
    </row>
    <row r="501" spans="2:13">
      <c r="B501" s="50">
        <f t="shared" si="34"/>
        <v>45991</v>
      </c>
      <c r="C501">
        <v>3104105</v>
      </c>
      <c r="D501">
        <v>2480552</v>
      </c>
      <c r="E501" s="3">
        <v>293426.7</v>
      </c>
      <c r="F501" s="3">
        <v>26634.91</v>
      </c>
      <c r="G501" s="3">
        <v>24561.814264133016</v>
      </c>
      <c r="H501" s="10">
        <v>2073.0957358669848</v>
      </c>
      <c r="I501" s="10">
        <f t="shared" si="36"/>
        <v>2073.0957358669848</v>
      </c>
      <c r="J501" s="10">
        <f t="shared" si="35"/>
        <v>2073.0957358669848</v>
      </c>
      <c r="K501">
        <v>30</v>
      </c>
      <c r="M501" t="str">
        <f>VLOOKUP(C501,Lookup!B:C,2,0)</f>
        <v>San Pablo</v>
      </c>
    </row>
    <row r="502" spans="2:13">
      <c r="B502" s="50">
        <f t="shared" si="34"/>
        <v>45991</v>
      </c>
      <c r="C502">
        <v>3104105</v>
      </c>
      <c r="D502">
        <v>2480553</v>
      </c>
      <c r="E502" s="3">
        <v>254927.4</v>
      </c>
      <c r="F502" s="3">
        <v>24929.37</v>
      </c>
      <c r="G502" s="3">
        <v>23029.554264133014</v>
      </c>
      <c r="H502" s="10">
        <v>1899.8157358669848</v>
      </c>
      <c r="I502" s="10">
        <f t="shared" si="36"/>
        <v>1899.8157358669848</v>
      </c>
      <c r="J502" s="10">
        <f t="shared" si="35"/>
        <v>1899.8157358669848</v>
      </c>
      <c r="K502">
        <v>30</v>
      </c>
      <c r="M502" t="str">
        <f>VLOOKUP(C502,Lookup!B:C,2,0)</f>
        <v>San Pablo</v>
      </c>
    </row>
    <row r="503" spans="2:13">
      <c r="B503" s="50">
        <f t="shared" si="34"/>
        <v>45991</v>
      </c>
      <c r="C503">
        <v>3104105</v>
      </c>
      <c r="D503">
        <v>2480554</v>
      </c>
      <c r="E503" s="3">
        <v>292273.8</v>
      </c>
      <c r="F503" s="3">
        <v>33691.15</v>
      </c>
      <c r="G503" s="3">
        <v>31075.208664133017</v>
      </c>
      <c r="H503" s="10">
        <v>2615.9413358669844</v>
      </c>
      <c r="I503" s="10">
        <f t="shared" si="36"/>
        <v>2615.9413358669844</v>
      </c>
      <c r="J503" s="10">
        <f t="shared" si="35"/>
        <v>2615.9413358669844</v>
      </c>
      <c r="K503">
        <v>30</v>
      </c>
      <c r="M503" t="str">
        <f>VLOOKUP(C503,Lookup!B:C,2,0)</f>
        <v>San Pablo</v>
      </c>
    </row>
    <row r="504" spans="2:13">
      <c r="B504" s="50">
        <f t="shared" si="34"/>
        <v>45991</v>
      </c>
      <c r="C504">
        <v>3104105</v>
      </c>
      <c r="D504">
        <v>2492823</v>
      </c>
      <c r="E504" s="3">
        <v>182055.28</v>
      </c>
      <c r="F504" s="3">
        <v>6367.5199999999904</v>
      </c>
      <c r="G504" s="3">
        <v>5912.3978641330059</v>
      </c>
      <c r="H504" s="10">
        <v>455.12213586698459</v>
      </c>
      <c r="I504" s="10">
        <f t="shared" si="36"/>
        <v>455.12213586698459</v>
      </c>
      <c r="J504" s="10">
        <f t="shared" si="35"/>
        <v>455.12213586698459</v>
      </c>
      <c r="K504">
        <v>30</v>
      </c>
      <c r="M504" t="str">
        <f>VLOOKUP(C504,Lookup!B:C,2,0)</f>
        <v>San Pablo</v>
      </c>
    </row>
    <row r="505" spans="2:13">
      <c r="B505" s="50">
        <f t="shared" si="34"/>
        <v>45991</v>
      </c>
      <c r="C505">
        <v>3104105</v>
      </c>
      <c r="D505">
        <v>2492824</v>
      </c>
      <c r="E505" s="3">
        <v>227613</v>
      </c>
      <c r="F505" s="3">
        <v>23158.92</v>
      </c>
      <c r="G505" s="3">
        <v>21384.037864133013</v>
      </c>
      <c r="H505" s="10">
        <v>1774.8821358669845</v>
      </c>
      <c r="I505" s="10">
        <f t="shared" si="36"/>
        <v>1774.8821358669845</v>
      </c>
      <c r="J505" s="10">
        <f t="shared" si="35"/>
        <v>1774.8821358669845</v>
      </c>
      <c r="K505">
        <v>30</v>
      </c>
      <c r="M505" t="str">
        <f>VLOOKUP(C505,Lookup!B:C,2,0)</f>
        <v>San Pablo</v>
      </c>
    </row>
    <row r="506" spans="2:13">
      <c r="B506" s="50">
        <f t="shared" ref="B506:B569" si="37">B505</f>
        <v>45991</v>
      </c>
      <c r="C506">
        <v>3104105</v>
      </c>
      <c r="D506">
        <v>2492825</v>
      </c>
      <c r="E506" s="3">
        <v>116972.8</v>
      </c>
      <c r="F506" s="3">
        <v>15550.31</v>
      </c>
      <c r="G506" s="3">
        <v>14362.999064133015</v>
      </c>
      <c r="H506" s="10">
        <v>1187.3109358669847</v>
      </c>
      <c r="I506" s="10">
        <f t="shared" si="36"/>
        <v>1187.3109358669847</v>
      </c>
      <c r="J506" s="10">
        <f t="shared" si="35"/>
        <v>1187.3109358669847</v>
      </c>
      <c r="K506">
        <v>30</v>
      </c>
      <c r="M506" t="str">
        <f>VLOOKUP(C506,Lookup!B:C,2,0)</f>
        <v>San Pablo</v>
      </c>
    </row>
    <row r="507" spans="2:13">
      <c r="B507" s="50">
        <f t="shared" si="37"/>
        <v>45991</v>
      </c>
      <c r="C507">
        <v>3104105</v>
      </c>
      <c r="D507">
        <v>2492826</v>
      </c>
      <c r="E507" s="3">
        <v>154913.44</v>
      </c>
      <c r="F507" s="3">
        <v>11741.08</v>
      </c>
      <c r="G507" s="3">
        <v>10866.917064133015</v>
      </c>
      <c r="H507" s="10">
        <v>874.16293586698453</v>
      </c>
      <c r="I507" s="10">
        <f t="shared" si="36"/>
        <v>874.16293586698453</v>
      </c>
      <c r="J507" s="10">
        <f t="shared" si="35"/>
        <v>874.16293586698453</v>
      </c>
      <c r="K507">
        <v>30</v>
      </c>
      <c r="M507" t="str">
        <f>VLOOKUP(C507,Lookup!B:C,2,0)</f>
        <v>San Pablo</v>
      </c>
    </row>
    <row r="508" spans="2:13">
      <c r="B508" s="50">
        <f t="shared" si="37"/>
        <v>45991</v>
      </c>
      <c r="C508">
        <v>3104105</v>
      </c>
      <c r="D508">
        <v>2497490</v>
      </c>
      <c r="E508" s="3">
        <v>196405.44</v>
      </c>
      <c r="F508" s="3">
        <v>18551.54</v>
      </c>
      <c r="G508" s="3">
        <v>17170.763464133015</v>
      </c>
      <c r="H508" s="10">
        <v>1380.7765358669847</v>
      </c>
      <c r="I508" s="10">
        <f t="shared" si="36"/>
        <v>1380.7765358669847</v>
      </c>
      <c r="J508" s="10">
        <f t="shared" si="35"/>
        <v>1380.7765358669847</v>
      </c>
      <c r="K508">
        <v>30</v>
      </c>
      <c r="M508" t="str">
        <f>VLOOKUP(C508,Lookup!B:C,2,0)</f>
        <v>San Pablo</v>
      </c>
    </row>
    <row r="509" spans="2:13">
      <c r="B509" s="50">
        <f t="shared" si="37"/>
        <v>45991</v>
      </c>
      <c r="C509">
        <v>3104105</v>
      </c>
      <c r="D509">
        <v>2497491</v>
      </c>
      <c r="E509" s="3">
        <v>135278.88</v>
      </c>
      <c r="F509" s="3">
        <v>24835.33</v>
      </c>
      <c r="G509" s="3">
        <v>22940.029464133018</v>
      </c>
      <c r="H509" s="10">
        <v>1895.3005358669845</v>
      </c>
      <c r="I509" s="10">
        <f t="shared" si="36"/>
        <v>1895.3005358669845</v>
      </c>
      <c r="J509" s="10">
        <f t="shared" si="35"/>
        <v>1895.3005358669845</v>
      </c>
      <c r="K509">
        <v>30</v>
      </c>
      <c r="M509" t="str">
        <f>VLOOKUP(C509,Lookup!B:C,2,0)</f>
        <v>San Pablo</v>
      </c>
    </row>
    <row r="510" spans="2:13">
      <c r="B510" s="50">
        <f t="shared" si="37"/>
        <v>45991</v>
      </c>
      <c r="C510">
        <v>3104105</v>
      </c>
      <c r="D510">
        <v>2497492</v>
      </c>
      <c r="E510" s="3">
        <v>75941.5</v>
      </c>
      <c r="F510" s="3">
        <v>6183.83</v>
      </c>
      <c r="G510" s="3">
        <v>5750.1158641330157</v>
      </c>
      <c r="H510" s="10">
        <v>433.71413586698458</v>
      </c>
      <c r="I510" s="10">
        <f t="shared" si="36"/>
        <v>433.71413586698458</v>
      </c>
      <c r="J510" s="10">
        <f t="shared" si="35"/>
        <v>433.71413586698458</v>
      </c>
      <c r="K510">
        <v>30</v>
      </c>
      <c r="M510" t="str">
        <f>VLOOKUP(C510,Lookup!B:C,2,0)</f>
        <v>San Pablo</v>
      </c>
    </row>
    <row r="511" spans="2:13">
      <c r="B511" s="50">
        <f t="shared" si="37"/>
        <v>45991</v>
      </c>
      <c r="C511">
        <v>3104105</v>
      </c>
      <c r="D511">
        <v>2497493</v>
      </c>
      <c r="E511" s="3">
        <v>81868.5</v>
      </c>
      <c r="F511" s="3">
        <v>12179.8</v>
      </c>
      <c r="G511" s="3">
        <v>11259.493864133015</v>
      </c>
      <c r="H511" s="10">
        <v>920.30613586698462</v>
      </c>
      <c r="I511" s="10">
        <f t="shared" si="36"/>
        <v>920.30613586698462</v>
      </c>
      <c r="J511" s="10">
        <f t="shared" si="35"/>
        <v>920.30613586698462</v>
      </c>
      <c r="K511">
        <v>30</v>
      </c>
      <c r="M511" t="str">
        <f>VLOOKUP(C511,Lookup!B:C,2,0)</f>
        <v>San Pablo</v>
      </c>
    </row>
    <row r="512" spans="2:13">
      <c r="B512" s="50">
        <f t="shared" si="37"/>
        <v>45991</v>
      </c>
      <c r="C512">
        <v>3104105</v>
      </c>
      <c r="D512">
        <v>2497494</v>
      </c>
      <c r="E512" s="3">
        <v>69955</v>
      </c>
      <c r="F512" s="3">
        <v>4998.3999999999896</v>
      </c>
      <c r="G512" s="3">
        <v>4665.1746641330046</v>
      </c>
      <c r="H512" s="10">
        <v>333.22533586698461</v>
      </c>
      <c r="I512" s="10">
        <f t="shared" si="36"/>
        <v>333.22533586698461</v>
      </c>
      <c r="J512" s="10">
        <f t="shared" si="35"/>
        <v>333.22533586698461</v>
      </c>
      <c r="K512">
        <v>30</v>
      </c>
      <c r="M512" t="str">
        <f>VLOOKUP(C512,Lookup!B:C,2,0)</f>
        <v>San Pablo</v>
      </c>
    </row>
    <row r="513" spans="2:13">
      <c r="B513" s="50">
        <f t="shared" si="37"/>
        <v>45991</v>
      </c>
      <c r="C513">
        <v>3104105</v>
      </c>
      <c r="D513">
        <v>2497495</v>
      </c>
      <c r="E513" s="3">
        <v>90009.5</v>
      </c>
      <c r="F513" s="3">
        <v>12145.19</v>
      </c>
      <c r="G513" s="3">
        <v>11223.273464133015</v>
      </c>
      <c r="H513" s="10">
        <v>921.91653586698453</v>
      </c>
      <c r="I513" s="10">
        <f t="shared" si="36"/>
        <v>921.91653586698453</v>
      </c>
      <c r="J513" s="10">
        <f t="shared" si="35"/>
        <v>921.91653586698453</v>
      </c>
      <c r="K513">
        <v>30</v>
      </c>
      <c r="M513" t="str">
        <f>VLOOKUP(C513,Lookup!B:C,2,0)</f>
        <v>San Pablo</v>
      </c>
    </row>
    <row r="514" spans="2:13">
      <c r="B514" s="50">
        <f t="shared" si="37"/>
        <v>45991</v>
      </c>
      <c r="C514">
        <v>3104105</v>
      </c>
      <c r="D514">
        <v>2501919</v>
      </c>
      <c r="E514" s="3">
        <v>194369.6</v>
      </c>
      <c r="F514" s="3">
        <v>17983.849999999999</v>
      </c>
      <c r="G514" s="3">
        <v>16615.716664133015</v>
      </c>
      <c r="H514" s="10">
        <v>1368.1333358669845</v>
      </c>
      <c r="I514" s="10">
        <f t="shared" si="36"/>
        <v>1368.1333358669845</v>
      </c>
      <c r="J514" s="10">
        <f t="shared" ref="J514:J577" si="38">I514</f>
        <v>1368.1333358669845</v>
      </c>
      <c r="K514">
        <v>30</v>
      </c>
      <c r="M514" t="str">
        <f>VLOOKUP(C514,Lookup!B:C,2,0)</f>
        <v>San Pablo</v>
      </c>
    </row>
    <row r="515" spans="2:13">
      <c r="B515" s="50">
        <f t="shared" si="37"/>
        <v>45991</v>
      </c>
      <c r="C515">
        <v>3104105</v>
      </c>
      <c r="D515">
        <v>2507364</v>
      </c>
      <c r="E515" s="3">
        <v>169657.60000000001</v>
      </c>
      <c r="F515" s="3">
        <v>17058.32</v>
      </c>
      <c r="G515" s="3">
        <v>15777.834664133015</v>
      </c>
      <c r="H515" s="10">
        <v>1280.4853358669845</v>
      </c>
      <c r="I515" s="10">
        <f t="shared" si="36"/>
        <v>1280.4853358669845</v>
      </c>
      <c r="J515" s="10">
        <f t="shared" si="38"/>
        <v>1280.4853358669845</v>
      </c>
      <c r="K515">
        <v>30</v>
      </c>
      <c r="M515" t="str">
        <f>VLOOKUP(C515,Lookup!B:C,2,0)</f>
        <v>San Pablo</v>
      </c>
    </row>
    <row r="516" spans="2:13">
      <c r="B516" s="50">
        <f t="shared" si="37"/>
        <v>45991</v>
      </c>
      <c r="C516">
        <v>3104105</v>
      </c>
      <c r="D516">
        <v>2507365</v>
      </c>
      <c r="E516" s="3">
        <v>310901.5</v>
      </c>
      <c r="F516" s="3">
        <v>27149.81</v>
      </c>
      <c r="G516" s="3">
        <v>25091.368664133017</v>
      </c>
      <c r="H516" s="10">
        <v>2058.4413358669849</v>
      </c>
      <c r="I516" s="10">
        <f t="shared" ref="I516:I579" si="39">H516</f>
        <v>2058.4413358669849</v>
      </c>
      <c r="J516" s="10">
        <f t="shared" si="38"/>
        <v>2058.4413358669849</v>
      </c>
      <c r="K516">
        <v>30</v>
      </c>
      <c r="M516" t="str">
        <f>VLOOKUP(C516,Lookup!B:C,2,0)</f>
        <v>San Pablo</v>
      </c>
    </row>
    <row r="517" spans="2:13">
      <c r="B517" s="50">
        <f t="shared" si="37"/>
        <v>45991</v>
      </c>
      <c r="C517">
        <v>3104105</v>
      </c>
      <c r="D517">
        <v>2507366</v>
      </c>
      <c r="E517" s="3">
        <v>93968</v>
      </c>
      <c r="F517" s="3">
        <v>7645.2</v>
      </c>
      <c r="G517" s="3">
        <v>7137.741864133015</v>
      </c>
      <c r="H517" s="10">
        <v>507.45813586698466</v>
      </c>
      <c r="I517" s="10">
        <f t="shared" si="39"/>
        <v>507.45813586698466</v>
      </c>
      <c r="J517" s="10">
        <f t="shared" si="38"/>
        <v>507.45813586698466</v>
      </c>
      <c r="K517">
        <v>30</v>
      </c>
      <c r="M517" t="str">
        <f>VLOOKUP(C517,Lookup!B:C,2,0)</f>
        <v>San Pablo</v>
      </c>
    </row>
    <row r="518" spans="2:13">
      <c r="B518" s="50">
        <f t="shared" si="37"/>
        <v>45991</v>
      </c>
      <c r="C518">
        <v>3104105</v>
      </c>
      <c r="D518">
        <v>2507367</v>
      </c>
      <c r="E518" s="3">
        <v>264053</v>
      </c>
      <c r="F518" s="3">
        <v>22132.04</v>
      </c>
      <c r="G518" s="3">
        <v>20429.230664133018</v>
      </c>
      <c r="H518" s="10">
        <v>1702.8093358669846</v>
      </c>
      <c r="I518" s="10">
        <f t="shared" si="39"/>
        <v>1702.8093358669846</v>
      </c>
      <c r="J518" s="10">
        <f t="shared" si="38"/>
        <v>1702.8093358669846</v>
      </c>
      <c r="K518">
        <v>30</v>
      </c>
      <c r="M518" t="str">
        <f>VLOOKUP(C518,Lookup!B:C,2,0)</f>
        <v>San Pablo</v>
      </c>
    </row>
    <row r="519" spans="2:13">
      <c r="B519" s="50">
        <f t="shared" si="37"/>
        <v>45991</v>
      </c>
      <c r="C519">
        <v>3104105</v>
      </c>
      <c r="D519">
        <v>2507368</v>
      </c>
      <c r="E519" s="3">
        <v>96441</v>
      </c>
      <c r="F519" s="3">
        <v>9061.2199999999993</v>
      </c>
      <c r="G519" s="3">
        <v>8391.6570641330145</v>
      </c>
      <c r="H519" s="10">
        <v>669.56293586698462</v>
      </c>
      <c r="I519" s="10">
        <f t="shared" si="39"/>
        <v>669.56293586698462</v>
      </c>
      <c r="J519" s="10">
        <f t="shared" si="38"/>
        <v>669.56293586698462</v>
      </c>
      <c r="K519">
        <v>30</v>
      </c>
      <c r="M519" t="str">
        <f>VLOOKUP(C519,Lookup!B:C,2,0)</f>
        <v>San Pablo</v>
      </c>
    </row>
    <row r="520" spans="2:13">
      <c r="B520" s="50">
        <f t="shared" si="37"/>
        <v>45991</v>
      </c>
      <c r="C520">
        <v>3104105</v>
      </c>
      <c r="D520">
        <v>2507369</v>
      </c>
      <c r="E520" s="3">
        <v>104021.4</v>
      </c>
      <c r="F520" s="3">
        <v>12656.42</v>
      </c>
      <c r="G520" s="3">
        <v>11701.933864133016</v>
      </c>
      <c r="H520" s="10">
        <v>954.48613586698468</v>
      </c>
      <c r="I520" s="10">
        <f t="shared" si="39"/>
        <v>954.48613586698468</v>
      </c>
      <c r="J520" s="10">
        <f t="shared" si="38"/>
        <v>954.48613586698468</v>
      </c>
      <c r="K520">
        <v>30</v>
      </c>
      <c r="M520" t="str">
        <f>VLOOKUP(C520,Lookup!B:C,2,0)</f>
        <v>San Pablo</v>
      </c>
    </row>
    <row r="521" spans="2:13">
      <c r="B521" s="50">
        <f t="shared" si="37"/>
        <v>45991</v>
      </c>
      <c r="C521">
        <v>3104105</v>
      </c>
      <c r="D521">
        <v>2507370</v>
      </c>
      <c r="E521" s="3">
        <v>106496.4</v>
      </c>
      <c r="F521" s="3">
        <v>12144.36</v>
      </c>
      <c r="G521" s="3">
        <v>11352.045064133015</v>
      </c>
      <c r="H521" s="10">
        <v>792.31493586698468</v>
      </c>
      <c r="I521" s="10">
        <f t="shared" si="39"/>
        <v>792.31493586698468</v>
      </c>
      <c r="J521" s="10">
        <f t="shared" si="38"/>
        <v>792.31493586698468</v>
      </c>
      <c r="K521">
        <v>30</v>
      </c>
      <c r="M521" t="str">
        <f>VLOOKUP(C521,Lookup!B:C,2,0)</f>
        <v>San Pablo</v>
      </c>
    </row>
    <row r="522" spans="2:13">
      <c r="B522" s="50">
        <f t="shared" si="37"/>
        <v>45991</v>
      </c>
      <c r="C522">
        <v>3104105</v>
      </c>
      <c r="D522">
        <v>2507371</v>
      </c>
      <c r="E522" s="3">
        <v>427620</v>
      </c>
      <c r="F522" s="3">
        <v>24269.96</v>
      </c>
      <c r="G522" s="3">
        <v>22343.078664133016</v>
      </c>
      <c r="H522" s="10">
        <v>1926.8813358669847</v>
      </c>
      <c r="I522" s="10">
        <f t="shared" si="39"/>
        <v>1926.8813358669847</v>
      </c>
      <c r="J522" s="10">
        <f t="shared" si="38"/>
        <v>1926.8813358669847</v>
      </c>
      <c r="K522">
        <v>30</v>
      </c>
      <c r="M522" t="str">
        <f>VLOOKUP(C522,Lookup!B:C,2,0)</f>
        <v>San Pablo</v>
      </c>
    </row>
    <row r="523" spans="2:13">
      <c r="B523" s="50">
        <f t="shared" si="37"/>
        <v>45991</v>
      </c>
      <c r="C523">
        <v>3104105</v>
      </c>
      <c r="D523">
        <v>2507372</v>
      </c>
      <c r="E523" s="3">
        <v>611440</v>
      </c>
      <c r="F523" s="3">
        <v>42157.86</v>
      </c>
      <c r="G523" s="3">
        <v>38793.594664133016</v>
      </c>
      <c r="H523" s="10">
        <v>3364.2653358669845</v>
      </c>
      <c r="I523" s="10">
        <f t="shared" si="39"/>
        <v>3364.2653358669845</v>
      </c>
      <c r="J523" s="10">
        <f t="shared" si="38"/>
        <v>3364.2653358669845</v>
      </c>
      <c r="K523">
        <v>30</v>
      </c>
      <c r="M523" t="str">
        <f>VLOOKUP(C523,Lookup!B:C,2,0)</f>
        <v>San Pablo</v>
      </c>
    </row>
    <row r="524" spans="2:13">
      <c r="B524" s="50">
        <f t="shared" si="37"/>
        <v>45991</v>
      </c>
      <c r="C524">
        <v>3104105</v>
      </c>
      <c r="D524">
        <v>2507373</v>
      </c>
      <c r="E524" s="3">
        <v>471275</v>
      </c>
      <c r="F524" s="3">
        <v>41995.92</v>
      </c>
      <c r="G524" s="3">
        <v>38669.254664133012</v>
      </c>
      <c r="H524" s="10">
        <v>3326.6653358669846</v>
      </c>
      <c r="I524" s="10">
        <f t="shared" si="39"/>
        <v>3326.6653358669846</v>
      </c>
      <c r="J524" s="10">
        <f t="shared" si="38"/>
        <v>3326.6653358669846</v>
      </c>
      <c r="K524">
        <v>30</v>
      </c>
      <c r="M524" t="str">
        <f>VLOOKUP(C524,Lookup!B:C,2,0)</f>
        <v>San Pablo</v>
      </c>
    </row>
    <row r="525" spans="2:13">
      <c r="B525" s="50">
        <f t="shared" si="37"/>
        <v>45991</v>
      </c>
      <c r="C525">
        <v>3104105</v>
      </c>
      <c r="D525">
        <v>2507374</v>
      </c>
      <c r="E525" s="3">
        <v>167725.5</v>
      </c>
      <c r="F525" s="3">
        <v>19999.93</v>
      </c>
      <c r="G525" s="3">
        <v>18482.956664133017</v>
      </c>
      <c r="H525" s="10">
        <v>1516.9733358669846</v>
      </c>
      <c r="I525" s="10">
        <f t="shared" si="39"/>
        <v>1516.9733358669846</v>
      </c>
      <c r="J525" s="10">
        <f t="shared" si="38"/>
        <v>1516.9733358669846</v>
      </c>
      <c r="K525">
        <v>30</v>
      </c>
      <c r="M525" t="str">
        <f>VLOOKUP(C525,Lookup!B:C,2,0)</f>
        <v>San Pablo</v>
      </c>
    </row>
    <row r="526" spans="2:13">
      <c r="B526" s="50">
        <f t="shared" si="37"/>
        <v>45991</v>
      </c>
      <c r="C526">
        <v>3104105</v>
      </c>
      <c r="D526">
        <v>2507375</v>
      </c>
      <c r="E526" s="3">
        <v>253424.4</v>
      </c>
      <c r="F526" s="3">
        <v>20163.189999999999</v>
      </c>
      <c r="G526" s="3">
        <v>18661.206264133012</v>
      </c>
      <c r="H526" s="10">
        <v>1501.9837358669847</v>
      </c>
      <c r="I526" s="10">
        <f t="shared" si="39"/>
        <v>1501.9837358669847</v>
      </c>
      <c r="J526" s="10">
        <f t="shared" si="38"/>
        <v>1501.9837358669847</v>
      </c>
      <c r="K526">
        <v>30</v>
      </c>
      <c r="M526" t="str">
        <f>VLOOKUP(C526,Lookup!B:C,2,0)</f>
        <v>San Pablo</v>
      </c>
    </row>
    <row r="527" spans="2:13">
      <c r="B527" s="50">
        <f t="shared" si="37"/>
        <v>45991</v>
      </c>
      <c r="C527">
        <v>3104105</v>
      </c>
      <c r="D527">
        <v>2507376</v>
      </c>
      <c r="E527" s="3">
        <v>287386</v>
      </c>
      <c r="F527" s="3">
        <v>36574.550000000003</v>
      </c>
      <c r="G527" s="3">
        <v>33709.186264133015</v>
      </c>
      <c r="H527" s="10">
        <v>2865.3637358669848</v>
      </c>
      <c r="I527" s="10">
        <f t="shared" si="39"/>
        <v>2865.3637358669848</v>
      </c>
      <c r="J527" s="10">
        <f t="shared" si="38"/>
        <v>2865.3637358669848</v>
      </c>
      <c r="K527">
        <v>30</v>
      </c>
      <c r="M527" t="str">
        <f>VLOOKUP(C527,Lookup!B:C,2,0)</f>
        <v>San Pablo</v>
      </c>
    </row>
    <row r="528" spans="2:13">
      <c r="B528" s="50">
        <f t="shared" si="37"/>
        <v>45991</v>
      </c>
      <c r="C528">
        <v>3104105</v>
      </c>
      <c r="D528">
        <v>2507377</v>
      </c>
      <c r="E528" s="3">
        <v>341544.8</v>
      </c>
      <c r="F528" s="3">
        <v>36386.5</v>
      </c>
      <c r="G528" s="3">
        <v>33508.125864133013</v>
      </c>
      <c r="H528" s="10">
        <v>2878.3741358669845</v>
      </c>
      <c r="I528" s="10">
        <f t="shared" si="39"/>
        <v>2878.3741358669845</v>
      </c>
      <c r="J528" s="10">
        <f t="shared" si="38"/>
        <v>2878.3741358669845</v>
      </c>
      <c r="K528">
        <v>30</v>
      </c>
      <c r="M528" t="str">
        <f>VLOOKUP(C528,Lookup!B:C,2,0)</f>
        <v>San Pablo</v>
      </c>
    </row>
    <row r="529" spans="2:13">
      <c r="B529" s="50">
        <f t="shared" si="37"/>
        <v>45991</v>
      </c>
      <c r="C529">
        <v>3104105</v>
      </c>
      <c r="D529">
        <v>2507378</v>
      </c>
      <c r="E529" s="3">
        <v>366740.75</v>
      </c>
      <c r="F529" s="3">
        <v>17976.86</v>
      </c>
      <c r="G529" s="3">
        <v>16597.522664133015</v>
      </c>
      <c r="H529" s="10">
        <v>1379.3373358669849</v>
      </c>
      <c r="I529" s="10">
        <f t="shared" si="39"/>
        <v>1379.3373358669849</v>
      </c>
      <c r="J529" s="10">
        <f t="shared" si="38"/>
        <v>1379.3373358669849</v>
      </c>
      <c r="K529">
        <v>30</v>
      </c>
      <c r="M529" t="str">
        <f>VLOOKUP(C529,Lookup!B:C,2,0)</f>
        <v>San Pablo</v>
      </c>
    </row>
    <row r="530" spans="2:13">
      <c r="B530" s="50">
        <f t="shared" si="37"/>
        <v>45991</v>
      </c>
      <c r="C530">
        <v>3104105</v>
      </c>
      <c r="D530">
        <v>2507379</v>
      </c>
      <c r="E530" s="3">
        <v>303274.25</v>
      </c>
      <c r="F530" s="3">
        <v>31929.66</v>
      </c>
      <c r="G530" s="3">
        <v>31555.958664133017</v>
      </c>
      <c r="H530" s="10">
        <v>373.70133586698461</v>
      </c>
      <c r="I530" s="10">
        <f t="shared" si="39"/>
        <v>373.70133586698461</v>
      </c>
      <c r="J530" s="10">
        <f t="shared" si="38"/>
        <v>373.70133586698461</v>
      </c>
      <c r="K530">
        <v>30</v>
      </c>
      <c r="M530" t="str">
        <f>VLOOKUP(C530,Lookup!B:C,2,0)</f>
        <v>San Pablo</v>
      </c>
    </row>
    <row r="531" spans="2:13">
      <c r="B531" s="50">
        <f t="shared" si="37"/>
        <v>45991</v>
      </c>
      <c r="C531">
        <v>3104105</v>
      </c>
      <c r="D531">
        <v>2507380</v>
      </c>
      <c r="E531" s="3">
        <v>297756.5</v>
      </c>
      <c r="F531" s="3">
        <v>28724.02</v>
      </c>
      <c r="G531" s="3">
        <v>26495.882664133016</v>
      </c>
      <c r="H531" s="10">
        <v>2228.1373358669848</v>
      </c>
      <c r="I531" s="10">
        <f t="shared" si="39"/>
        <v>2228.1373358669848</v>
      </c>
      <c r="J531" s="10">
        <f t="shared" si="38"/>
        <v>2228.1373358669848</v>
      </c>
      <c r="K531">
        <v>30</v>
      </c>
      <c r="M531" t="str">
        <f>VLOOKUP(C531,Lookup!B:C,2,0)</f>
        <v>San Pablo</v>
      </c>
    </row>
    <row r="532" spans="2:13">
      <c r="B532" s="50">
        <f t="shared" si="37"/>
        <v>45991</v>
      </c>
      <c r="C532">
        <v>3104105</v>
      </c>
      <c r="D532">
        <v>2507381</v>
      </c>
      <c r="E532" s="3">
        <v>382356.5</v>
      </c>
      <c r="F532" s="3">
        <v>38315.480000000003</v>
      </c>
      <c r="G532" s="3">
        <v>35295.894664133019</v>
      </c>
      <c r="H532" s="10">
        <v>3019.5853358669847</v>
      </c>
      <c r="I532" s="10">
        <f t="shared" si="39"/>
        <v>3019.5853358669847</v>
      </c>
      <c r="J532" s="10">
        <f t="shared" si="38"/>
        <v>3019.5853358669847</v>
      </c>
      <c r="K532">
        <v>30</v>
      </c>
      <c r="M532" t="str">
        <f>VLOOKUP(C532,Lookup!B:C,2,0)</f>
        <v>San Pablo</v>
      </c>
    </row>
    <row r="533" spans="2:13">
      <c r="B533" s="50">
        <f t="shared" si="37"/>
        <v>45991</v>
      </c>
      <c r="C533">
        <v>3104105</v>
      </c>
      <c r="D533">
        <v>2515020</v>
      </c>
      <c r="E533" s="3">
        <v>234624.5</v>
      </c>
      <c r="F533" s="3">
        <v>13515.11</v>
      </c>
      <c r="G533" s="3">
        <v>12455.724664133017</v>
      </c>
      <c r="H533" s="10">
        <v>1059.3853358669846</v>
      </c>
      <c r="I533" s="10">
        <f t="shared" si="39"/>
        <v>1059.3853358669846</v>
      </c>
      <c r="J533" s="10">
        <f t="shared" si="38"/>
        <v>1059.3853358669846</v>
      </c>
      <c r="K533">
        <v>30</v>
      </c>
      <c r="M533" t="str">
        <f>VLOOKUP(C533,Lookup!B:C,2,0)</f>
        <v>San Pablo</v>
      </c>
    </row>
    <row r="534" spans="2:13">
      <c r="B534" s="50">
        <f t="shared" si="37"/>
        <v>45991</v>
      </c>
      <c r="C534">
        <v>3104105</v>
      </c>
      <c r="D534">
        <v>2515021</v>
      </c>
      <c r="E534" s="3">
        <v>201538.5</v>
      </c>
      <c r="F534" s="3">
        <v>7061.9200000000101</v>
      </c>
      <c r="G534" s="3">
        <v>6548.7258641330254</v>
      </c>
      <c r="H534" s="10">
        <v>513.19413586698454</v>
      </c>
      <c r="I534" s="10">
        <f t="shared" si="39"/>
        <v>513.19413586698454</v>
      </c>
      <c r="J534" s="10">
        <f t="shared" si="38"/>
        <v>513.19413586698454</v>
      </c>
      <c r="K534">
        <v>30</v>
      </c>
      <c r="M534" t="str">
        <f>VLOOKUP(C534,Lookup!B:C,2,0)</f>
        <v>San Pablo</v>
      </c>
    </row>
    <row r="535" spans="2:13">
      <c r="B535" s="50">
        <f t="shared" si="37"/>
        <v>45991</v>
      </c>
      <c r="C535">
        <v>3104105</v>
      </c>
      <c r="D535">
        <v>2515022</v>
      </c>
      <c r="E535" s="3">
        <v>265533.75</v>
      </c>
      <c r="F535" s="3">
        <v>25373.85</v>
      </c>
      <c r="G535" s="3">
        <v>23388.908664133014</v>
      </c>
      <c r="H535" s="10">
        <v>1984.9413358669847</v>
      </c>
      <c r="I535" s="10">
        <f t="shared" si="39"/>
        <v>1984.9413358669847</v>
      </c>
      <c r="J535" s="10">
        <f t="shared" si="38"/>
        <v>1984.9413358669847</v>
      </c>
      <c r="K535">
        <v>30</v>
      </c>
      <c r="M535" t="str">
        <f>VLOOKUP(C535,Lookup!B:C,2,0)</f>
        <v>San Pablo</v>
      </c>
    </row>
    <row r="536" spans="2:13">
      <c r="B536" s="50">
        <f t="shared" si="37"/>
        <v>45991</v>
      </c>
      <c r="C536">
        <v>3104105</v>
      </c>
      <c r="D536">
        <v>2515075</v>
      </c>
      <c r="E536" s="3">
        <v>246515.5</v>
      </c>
      <c r="F536" s="3">
        <v>18184.96</v>
      </c>
      <c r="G536" s="3">
        <v>16760.118664133013</v>
      </c>
      <c r="H536" s="10">
        <v>1424.8413358669848</v>
      </c>
      <c r="I536" s="10">
        <f t="shared" si="39"/>
        <v>1424.8413358669848</v>
      </c>
      <c r="J536" s="10">
        <f t="shared" si="38"/>
        <v>1424.8413358669848</v>
      </c>
      <c r="K536">
        <v>30</v>
      </c>
      <c r="M536" t="str">
        <f>VLOOKUP(C536,Lookup!B:C,2,0)</f>
        <v>San Pablo</v>
      </c>
    </row>
    <row r="537" spans="2:13">
      <c r="B537" s="50">
        <f t="shared" si="37"/>
        <v>45991</v>
      </c>
      <c r="C537">
        <v>3104105</v>
      </c>
      <c r="D537">
        <v>2515076</v>
      </c>
      <c r="E537" s="3">
        <v>253291.25</v>
      </c>
      <c r="F537" s="3">
        <v>29002.41</v>
      </c>
      <c r="G537" s="3">
        <v>26688.484664133015</v>
      </c>
      <c r="H537" s="10">
        <v>2313.9253358669848</v>
      </c>
      <c r="I537" s="10">
        <f t="shared" si="39"/>
        <v>2313.9253358669848</v>
      </c>
      <c r="J537" s="10">
        <f t="shared" si="38"/>
        <v>2313.9253358669848</v>
      </c>
      <c r="K537">
        <v>30</v>
      </c>
      <c r="M537" t="str">
        <f>VLOOKUP(C537,Lookup!B:C,2,0)</f>
        <v>San Pablo</v>
      </c>
    </row>
    <row r="538" spans="2:13">
      <c r="B538" s="50">
        <f t="shared" si="37"/>
        <v>45991</v>
      </c>
      <c r="C538">
        <v>3104105</v>
      </c>
      <c r="D538">
        <v>2515077</v>
      </c>
      <c r="E538" s="3">
        <v>262976.5</v>
      </c>
      <c r="F538" s="3">
        <v>19503.64</v>
      </c>
      <c r="G538" s="3">
        <v>17965.814664133013</v>
      </c>
      <c r="H538" s="10">
        <v>1537.8253358669847</v>
      </c>
      <c r="I538" s="10">
        <f t="shared" si="39"/>
        <v>1537.8253358669847</v>
      </c>
      <c r="J538" s="10">
        <f t="shared" si="38"/>
        <v>1537.8253358669847</v>
      </c>
      <c r="K538">
        <v>30</v>
      </c>
      <c r="M538" t="str">
        <f>VLOOKUP(C538,Lookup!B:C,2,0)</f>
        <v>San Pablo</v>
      </c>
    </row>
    <row r="539" spans="2:13">
      <c r="B539" s="50">
        <f t="shared" si="37"/>
        <v>45991</v>
      </c>
      <c r="C539">
        <v>3104105</v>
      </c>
      <c r="D539">
        <v>2523191</v>
      </c>
      <c r="E539" s="3">
        <v>126776.32000000001</v>
      </c>
      <c r="F539" s="3">
        <v>-9001.6500000000106</v>
      </c>
      <c r="G539" s="3">
        <v>-8218.1777358669951</v>
      </c>
      <c r="H539" s="10">
        <v>-783.4722641330153</v>
      </c>
      <c r="I539" s="10">
        <f t="shared" si="39"/>
        <v>-783.4722641330153</v>
      </c>
      <c r="J539" s="10">
        <f t="shared" si="38"/>
        <v>-783.4722641330153</v>
      </c>
      <c r="K539">
        <v>30</v>
      </c>
      <c r="M539" t="str">
        <f>VLOOKUP(C539,Lookup!B:C,2,0)</f>
        <v>San Pablo</v>
      </c>
    </row>
    <row r="540" spans="2:13">
      <c r="B540" s="50">
        <f t="shared" si="37"/>
        <v>45991</v>
      </c>
      <c r="C540">
        <v>3104105</v>
      </c>
      <c r="D540">
        <v>2523192</v>
      </c>
      <c r="E540" s="3">
        <v>84820</v>
      </c>
      <c r="F540" s="3">
        <v>11408.28</v>
      </c>
      <c r="G540" s="3">
        <v>10552.552264133015</v>
      </c>
      <c r="H540" s="10">
        <v>855.72773586698463</v>
      </c>
      <c r="I540" s="10">
        <f t="shared" si="39"/>
        <v>855.72773586698463</v>
      </c>
      <c r="J540" s="10">
        <f t="shared" si="38"/>
        <v>855.72773586698463</v>
      </c>
      <c r="K540">
        <v>30</v>
      </c>
      <c r="M540" t="str">
        <f>VLOOKUP(C540,Lookup!B:C,2,0)</f>
        <v>San Pablo</v>
      </c>
    </row>
    <row r="541" spans="2:13">
      <c r="B541" s="50">
        <f t="shared" si="37"/>
        <v>45991</v>
      </c>
      <c r="C541">
        <v>3104105</v>
      </c>
      <c r="D541">
        <v>2523193</v>
      </c>
      <c r="E541" s="3">
        <v>78087.600000000006</v>
      </c>
      <c r="F541" s="3">
        <v>10370.34</v>
      </c>
      <c r="G541" s="3">
        <v>9600.9090641330149</v>
      </c>
      <c r="H541" s="10">
        <v>769.43093586698456</v>
      </c>
      <c r="I541" s="10">
        <f t="shared" si="39"/>
        <v>769.43093586698456</v>
      </c>
      <c r="J541" s="10">
        <f t="shared" si="38"/>
        <v>769.43093586698456</v>
      </c>
      <c r="K541">
        <v>30</v>
      </c>
      <c r="M541" t="str">
        <f>VLOOKUP(C541,Lookup!B:C,2,0)</f>
        <v>San Pablo</v>
      </c>
    </row>
    <row r="542" spans="2:13">
      <c r="B542" s="50">
        <f t="shared" si="37"/>
        <v>45991</v>
      </c>
      <c r="C542">
        <v>3104105</v>
      </c>
      <c r="D542">
        <v>2523194</v>
      </c>
      <c r="E542" s="3">
        <v>115519.36</v>
      </c>
      <c r="F542" s="3">
        <v>17126.240000000002</v>
      </c>
      <c r="G542" s="3">
        <v>15811.505064133016</v>
      </c>
      <c r="H542" s="10">
        <v>1314.7349358669846</v>
      </c>
      <c r="I542" s="10">
        <f t="shared" si="39"/>
        <v>1314.7349358669846</v>
      </c>
      <c r="J542" s="10">
        <f t="shared" si="38"/>
        <v>1314.7349358669846</v>
      </c>
      <c r="K542">
        <v>30</v>
      </c>
      <c r="M542" t="str">
        <f>VLOOKUP(C542,Lookup!B:C,2,0)</f>
        <v>San Pablo</v>
      </c>
    </row>
    <row r="543" spans="2:13">
      <c r="B543" s="50">
        <f t="shared" si="37"/>
        <v>45991</v>
      </c>
      <c r="C543">
        <v>3104105</v>
      </c>
      <c r="D543">
        <v>2523195</v>
      </c>
      <c r="E543" s="3">
        <v>54740.5</v>
      </c>
      <c r="F543" s="3">
        <v>9152.7800000000097</v>
      </c>
      <c r="G543" s="3">
        <v>8479.122664133025</v>
      </c>
      <c r="H543" s="10">
        <v>673.65733586698457</v>
      </c>
      <c r="I543" s="10">
        <f t="shared" si="39"/>
        <v>673.65733586698457</v>
      </c>
      <c r="J543" s="10">
        <f t="shared" si="38"/>
        <v>673.65733586698457</v>
      </c>
      <c r="K543">
        <v>30</v>
      </c>
      <c r="M543" t="str">
        <f>VLOOKUP(C543,Lookup!B:C,2,0)</f>
        <v>San Pablo</v>
      </c>
    </row>
    <row r="544" spans="2:13">
      <c r="B544" s="50">
        <f t="shared" si="37"/>
        <v>45991</v>
      </c>
      <c r="C544">
        <v>3104105</v>
      </c>
      <c r="D544">
        <v>2523196</v>
      </c>
      <c r="E544" s="3">
        <v>96442</v>
      </c>
      <c r="F544" s="3">
        <v>8465.9900000000107</v>
      </c>
      <c r="G544" s="3">
        <v>7741.2606641330258</v>
      </c>
      <c r="H544" s="10">
        <v>724.72933586698457</v>
      </c>
      <c r="I544" s="10">
        <f t="shared" si="39"/>
        <v>724.72933586698457</v>
      </c>
      <c r="J544" s="10">
        <f t="shared" si="38"/>
        <v>724.72933586698457</v>
      </c>
      <c r="K544">
        <v>30</v>
      </c>
      <c r="M544" t="str">
        <f>VLOOKUP(C544,Lookup!B:C,2,0)</f>
        <v>San Pablo</v>
      </c>
    </row>
    <row r="545" spans="2:13">
      <c r="B545" s="50">
        <f t="shared" si="37"/>
        <v>45991</v>
      </c>
      <c r="C545">
        <v>3104105</v>
      </c>
      <c r="D545">
        <v>2523197</v>
      </c>
      <c r="E545" s="3">
        <v>136553</v>
      </c>
      <c r="F545" s="3">
        <v>7146.48</v>
      </c>
      <c r="G545" s="3">
        <v>6398.7586641330145</v>
      </c>
      <c r="H545" s="10">
        <v>747.72133586698465</v>
      </c>
      <c r="I545" s="10">
        <f t="shared" si="39"/>
        <v>747.72133586698465</v>
      </c>
      <c r="J545" s="10">
        <f t="shared" si="38"/>
        <v>747.72133586698465</v>
      </c>
      <c r="K545">
        <v>30</v>
      </c>
      <c r="M545" t="str">
        <f>VLOOKUP(C545,Lookup!B:C,2,0)</f>
        <v>San Pablo</v>
      </c>
    </row>
    <row r="546" spans="2:13">
      <c r="B546" s="50">
        <f t="shared" si="37"/>
        <v>45991</v>
      </c>
      <c r="C546">
        <v>3104105</v>
      </c>
      <c r="D546">
        <v>2547242</v>
      </c>
      <c r="E546" s="3">
        <v>310098.40000000002</v>
      </c>
      <c r="F546" s="3">
        <v>25952.33</v>
      </c>
      <c r="G546" s="3">
        <v>23876.868664133017</v>
      </c>
      <c r="H546" s="10">
        <v>2075.4613358669849</v>
      </c>
      <c r="I546" s="10">
        <f t="shared" si="39"/>
        <v>2075.4613358669849</v>
      </c>
      <c r="J546" s="10">
        <f t="shared" si="38"/>
        <v>2075.4613358669849</v>
      </c>
      <c r="K546">
        <v>30</v>
      </c>
      <c r="M546" t="str">
        <f>VLOOKUP(C546,Lookup!B:C,2,0)</f>
        <v>San Pablo</v>
      </c>
    </row>
    <row r="547" spans="2:13">
      <c r="B547" s="50">
        <f t="shared" si="37"/>
        <v>45991</v>
      </c>
      <c r="C547">
        <v>3104105</v>
      </c>
      <c r="D547">
        <v>2549422</v>
      </c>
      <c r="E547" s="3">
        <v>337504.25</v>
      </c>
      <c r="F547" s="3">
        <v>17622.189999999999</v>
      </c>
      <c r="G547" s="3">
        <v>16035.789464133015</v>
      </c>
      <c r="H547" s="10">
        <v>1586.4005358669845</v>
      </c>
      <c r="I547" s="10">
        <f t="shared" si="39"/>
        <v>1586.4005358669845</v>
      </c>
      <c r="J547" s="10">
        <f t="shared" si="38"/>
        <v>1586.4005358669845</v>
      </c>
      <c r="K547">
        <v>30</v>
      </c>
      <c r="M547" t="str">
        <f>VLOOKUP(C547,Lookup!B:C,2,0)</f>
        <v>San Pablo</v>
      </c>
    </row>
    <row r="548" spans="2:13">
      <c r="B548" s="50">
        <f t="shared" si="37"/>
        <v>45991</v>
      </c>
      <c r="C548">
        <v>3104105</v>
      </c>
      <c r="D548">
        <v>2549423</v>
      </c>
      <c r="E548" s="3">
        <v>319613.5</v>
      </c>
      <c r="F548" s="3">
        <v>32911.68</v>
      </c>
      <c r="G548" s="3">
        <v>30252.902664133017</v>
      </c>
      <c r="H548" s="10">
        <v>2658.7773358669847</v>
      </c>
      <c r="I548" s="10">
        <f t="shared" si="39"/>
        <v>2658.7773358669847</v>
      </c>
      <c r="J548" s="10">
        <f t="shared" si="38"/>
        <v>2658.7773358669847</v>
      </c>
      <c r="K548">
        <v>30</v>
      </c>
      <c r="M548" t="str">
        <f>VLOOKUP(C548,Lookup!B:C,2,0)</f>
        <v>San Pablo</v>
      </c>
    </row>
    <row r="549" spans="2:13">
      <c r="B549" s="50">
        <f t="shared" si="37"/>
        <v>45991</v>
      </c>
      <c r="C549">
        <v>3104105</v>
      </c>
      <c r="D549">
        <v>2549424</v>
      </c>
      <c r="E549" s="3">
        <v>250394</v>
      </c>
      <c r="F549" s="3">
        <v>30601.17</v>
      </c>
      <c r="G549" s="3">
        <v>28095.424664133014</v>
      </c>
      <c r="H549" s="10">
        <v>2505.7453358669845</v>
      </c>
      <c r="I549" s="10">
        <f t="shared" si="39"/>
        <v>2505.7453358669845</v>
      </c>
      <c r="J549" s="10">
        <f t="shared" si="38"/>
        <v>2505.7453358669845</v>
      </c>
      <c r="K549">
        <v>30</v>
      </c>
      <c r="M549" t="str">
        <f>VLOOKUP(C549,Lookup!B:C,2,0)</f>
        <v>San Pablo</v>
      </c>
    </row>
    <row r="550" spans="2:13">
      <c r="B550" s="50">
        <f t="shared" si="37"/>
        <v>45991</v>
      </c>
      <c r="C550">
        <v>3104105</v>
      </c>
      <c r="D550">
        <v>2549425</v>
      </c>
      <c r="E550" s="3">
        <v>335918.25</v>
      </c>
      <c r="F550" s="3">
        <v>35189.449999999997</v>
      </c>
      <c r="G550" s="3">
        <v>32365.456664133013</v>
      </c>
      <c r="H550" s="10">
        <v>2823.9933358669846</v>
      </c>
      <c r="I550" s="10">
        <f t="shared" si="39"/>
        <v>2823.9933358669846</v>
      </c>
      <c r="J550" s="10">
        <f t="shared" si="38"/>
        <v>2823.9933358669846</v>
      </c>
      <c r="K550">
        <v>30</v>
      </c>
      <c r="M550" t="str">
        <f>VLOOKUP(C550,Lookup!B:C,2,0)</f>
        <v>San Pablo</v>
      </c>
    </row>
    <row r="551" spans="2:13">
      <c r="B551" s="50">
        <f t="shared" si="37"/>
        <v>45991</v>
      </c>
      <c r="C551">
        <v>3104105</v>
      </c>
      <c r="D551">
        <v>2549426</v>
      </c>
      <c r="E551" s="3">
        <v>278093.25</v>
      </c>
      <c r="F551" s="3">
        <v>25329.46</v>
      </c>
      <c r="G551" s="3">
        <v>23137.642664133014</v>
      </c>
      <c r="H551" s="10">
        <v>2191.8173358669846</v>
      </c>
      <c r="I551" s="10">
        <f t="shared" si="39"/>
        <v>2191.8173358669846</v>
      </c>
      <c r="J551" s="10">
        <f t="shared" si="38"/>
        <v>2191.8173358669846</v>
      </c>
      <c r="K551">
        <v>30</v>
      </c>
      <c r="M551" t="str">
        <f>VLOOKUP(C551,Lookup!B:C,2,0)</f>
        <v>San Pablo</v>
      </c>
    </row>
    <row r="552" spans="2:13">
      <c r="B552" s="50">
        <f t="shared" si="37"/>
        <v>45991</v>
      </c>
      <c r="C552">
        <v>3104105</v>
      </c>
      <c r="D552">
        <v>2549427</v>
      </c>
      <c r="E552" s="3">
        <v>239595.8</v>
      </c>
      <c r="F552" s="3">
        <v>31395.200000000001</v>
      </c>
      <c r="G552" s="3">
        <v>28919.301864133016</v>
      </c>
      <c r="H552" s="10">
        <v>2475.8981358669848</v>
      </c>
      <c r="I552" s="10">
        <f t="shared" si="39"/>
        <v>2475.8981358669848</v>
      </c>
      <c r="J552" s="10">
        <f t="shared" si="38"/>
        <v>2475.8981358669848</v>
      </c>
      <c r="K552">
        <v>30</v>
      </c>
      <c r="M552" t="str">
        <f>VLOOKUP(C552,Lookup!B:C,2,0)</f>
        <v>San Pablo</v>
      </c>
    </row>
    <row r="553" spans="2:13">
      <c r="B553" s="50">
        <f t="shared" si="37"/>
        <v>45991</v>
      </c>
      <c r="C553">
        <v>3104105</v>
      </c>
      <c r="D553">
        <v>2549428</v>
      </c>
      <c r="E553" s="3">
        <v>415543.5</v>
      </c>
      <c r="F553" s="3">
        <v>30842.720000000001</v>
      </c>
      <c r="G553" s="3">
        <v>28326.554664133015</v>
      </c>
      <c r="H553" s="10">
        <v>2516.1653358669846</v>
      </c>
      <c r="I553" s="10">
        <f t="shared" si="39"/>
        <v>2516.1653358669846</v>
      </c>
      <c r="J553" s="10">
        <f t="shared" si="38"/>
        <v>2516.1653358669846</v>
      </c>
      <c r="K553">
        <v>30</v>
      </c>
      <c r="M553" t="str">
        <f>VLOOKUP(C553,Lookup!B:C,2,0)</f>
        <v>San Pablo</v>
      </c>
    </row>
    <row r="554" spans="2:13">
      <c r="B554" s="50">
        <f t="shared" si="37"/>
        <v>45991</v>
      </c>
      <c r="C554">
        <v>3104105</v>
      </c>
      <c r="D554">
        <v>2549429</v>
      </c>
      <c r="E554" s="3">
        <v>297611</v>
      </c>
      <c r="F554" s="3">
        <v>17516.5</v>
      </c>
      <c r="G554" s="3">
        <v>16152.800264133015</v>
      </c>
      <c r="H554" s="10">
        <v>1363.6997358669846</v>
      </c>
      <c r="I554" s="10">
        <f t="shared" si="39"/>
        <v>1363.6997358669846</v>
      </c>
      <c r="J554" s="10">
        <f t="shared" si="38"/>
        <v>1363.6997358669846</v>
      </c>
      <c r="K554">
        <v>30</v>
      </c>
      <c r="M554" t="str">
        <f>VLOOKUP(C554,Lookup!B:C,2,0)</f>
        <v>San Pablo</v>
      </c>
    </row>
    <row r="555" spans="2:13">
      <c r="B555" s="50">
        <f t="shared" si="37"/>
        <v>45991</v>
      </c>
      <c r="C555">
        <v>3104105</v>
      </c>
      <c r="D555">
        <v>2549430</v>
      </c>
      <c r="E555" s="3">
        <v>388928</v>
      </c>
      <c r="F555" s="3">
        <v>27635.87</v>
      </c>
      <c r="G555" s="3">
        <v>25376.336664133014</v>
      </c>
      <c r="H555" s="10">
        <v>2259.5333358669845</v>
      </c>
      <c r="I555" s="10">
        <f t="shared" si="39"/>
        <v>2259.5333358669845</v>
      </c>
      <c r="J555" s="10">
        <f t="shared" si="38"/>
        <v>2259.5333358669845</v>
      </c>
      <c r="K555">
        <v>30</v>
      </c>
      <c r="M555" t="str">
        <f>VLOOKUP(C555,Lookup!B:C,2,0)</f>
        <v>San Pablo</v>
      </c>
    </row>
    <row r="556" spans="2:13">
      <c r="B556" s="50">
        <f t="shared" si="37"/>
        <v>45991</v>
      </c>
      <c r="C556">
        <v>3104105</v>
      </c>
      <c r="D556">
        <v>2549431</v>
      </c>
      <c r="E556" s="3">
        <v>235975</v>
      </c>
      <c r="F556" s="3">
        <v>21548.400000000001</v>
      </c>
      <c r="G556" s="3">
        <v>19787.115464133018</v>
      </c>
      <c r="H556" s="10">
        <v>1761.2845358669847</v>
      </c>
      <c r="I556" s="10">
        <f t="shared" si="39"/>
        <v>1761.2845358669847</v>
      </c>
      <c r="J556" s="10">
        <f t="shared" si="38"/>
        <v>1761.2845358669847</v>
      </c>
      <c r="K556">
        <v>30</v>
      </c>
      <c r="M556" t="str">
        <f>VLOOKUP(C556,Lookup!B:C,2,0)</f>
        <v>San Pablo</v>
      </c>
    </row>
    <row r="557" spans="2:13">
      <c r="B557" s="50">
        <f t="shared" si="37"/>
        <v>45991</v>
      </c>
      <c r="C557">
        <v>3104105</v>
      </c>
      <c r="D557">
        <v>2565187</v>
      </c>
      <c r="E557" s="3">
        <v>184734</v>
      </c>
      <c r="F557" s="3">
        <v>17018.53</v>
      </c>
      <c r="G557" s="3">
        <v>15685.464664133015</v>
      </c>
      <c r="H557" s="10">
        <v>1333.0653358669847</v>
      </c>
      <c r="I557" s="10">
        <f t="shared" si="39"/>
        <v>1333.0653358669847</v>
      </c>
      <c r="J557" s="10">
        <f t="shared" si="38"/>
        <v>1333.0653358669847</v>
      </c>
      <c r="K557">
        <v>30</v>
      </c>
      <c r="M557" t="str">
        <f>VLOOKUP(C557,Lookup!B:C,2,0)</f>
        <v>San Pablo</v>
      </c>
    </row>
    <row r="558" spans="2:13">
      <c r="B558" s="50">
        <f t="shared" si="37"/>
        <v>45991</v>
      </c>
      <c r="C558">
        <v>3104105</v>
      </c>
      <c r="D558">
        <v>2565188</v>
      </c>
      <c r="E558" s="3">
        <v>195576</v>
      </c>
      <c r="F558" s="3">
        <v>211</v>
      </c>
      <c r="G558" s="3">
        <v>249.4546641330154</v>
      </c>
      <c r="H558" s="10">
        <v>-38.454664133015413</v>
      </c>
      <c r="I558" s="10">
        <f t="shared" si="39"/>
        <v>-38.454664133015413</v>
      </c>
      <c r="J558" s="10">
        <f t="shared" si="38"/>
        <v>-38.454664133015413</v>
      </c>
      <c r="K558">
        <v>30</v>
      </c>
      <c r="M558" t="str">
        <f>VLOOKUP(C558,Lookup!B:C,2,0)</f>
        <v>San Pablo</v>
      </c>
    </row>
    <row r="559" spans="2:13">
      <c r="B559" s="50">
        <f t="shared" si="37"/>
        <v>45991</v>
      </c>
      <c r="C559">
        <v>3104105</v>
      </c>
      <c r="D559">
        <v>2565189</v>
      </c>
      <c r="E559" s="3">
        <v>190322.75</v>
      </c>
      <c r="F559" s="3">
        <v>17968.39</v>
      </c>
      <c r="G559" s="3">
        <v>16579.304664133015</v>
      </c>
      <c r="H559" s="10">
        <v>1389.0853358669847</v>
      </c>
      <c r="I559" s="10">
        <f t="shared" si="39"/>
        <v>1389.0853358669847</v>
      </c>
      <c r="J559" s="10">
        <f t="shared" si="38"/>
        <v>1389.0853358669847</v>
      </c>
      <c r="K559">
        <v>30</v>
      </c>
      <c r="M559" t="str">
        <f>VLOOKUP(C559,Lookup!B:C,2,0)</f>
        <v>San Pablo</v>
      </c>
    </row>
    <row r="560" spans="2:13">
      <c r="B560" s="50">
        <f t="shared" si="37"/>
        <v>45991</v>
      </c>
      <c r="C560">
        <v>3104105</v>
      </c>
      <c r="D560">
        <v>2568980</v>
      </c>
      <c r="E560" s="3">
        <v>245730</v>
      </c>
      <c r="F560" s="3">
        <v>18777.71</v>
      </c>
      <c r="G560" s="3">
        <v>17272.644664133015</v>
      </c>
      <c r="H560" s="10">
        <v>1505.0653358669847</v>
      </c>
      <c r="I560" s="10">
        <f t="shared" si="39"/>
        <v>1505.0653358669847</v>
      </c>
      <c r="J560" s="10">
        <f t="shared" si="38"/>
        <v>1505.0653358669847</v>
      </c>
      <c r="K560">
        <v>30</v>
      </c>
      <c r="M560" t="str">
        <f>VLOOKUP(C560,Lookup!B:C,2,0)</f>
        <v>San Pablo</v>
      </c>
    </row>
    <row r="561" spans="2:13">
      <c r="B561" s="50">
        <f t="shared" si="37"/>
        <v>45991</v>
      </c>
      <c r="C561">
        <v>3104105</v>
      </c>
      <c r="D561">
        <v>2568983</v>
      </c>
      <c r="E561" s="3">
        <v>307415</v>
      </c>
      <c r="F561" s="3">
        <v>24308.04</v>
      </c>
      <c r="G561" s="3">
        <v>22432.465864133017</v>
      </c>
      <c r="H561" s="10">
        <v>1875.5741358669848</v>
      </c>
      <c r="I561" s="10">
        <f t="shared" si="39"/>
        <v>1875.5741358669848</v>
      </c>
      <c r="J561" s="10">
        <f t="shared" si="38"/>
        <v>1875.5741358669848</v>
      </c>
      <c r="K561">
        <v>30</v>
      </c>
      <c r="M561" t="str">
        <f>VLOOKUP(C561,Lookup!B:C,2,0)</f>
        <v>San Pablo</v>
      </c>
    </row>
    <row r="562" spans="2:13">
      <c r="B562" s="50">
        <f t="shared" si="37"/>
        <v>45991</v>
      </c>
      <c r="C562">
        <v>3104105</v>
      </c>
      <c r="D562">
        <v>2568985</v>
      </c>
      <c r="E562" s="3">
        <v>218891</v>
      </c>
      <c r="F562" s="3">
        <v>3449.25</v>
      </c>
      <c r="G562" s="3">
        <v>3235.7046641330153</v>
      </c>
      <c r="H562" s="10">
        <v>213.5453358669846</v>
      </c>
      <c r="I562" s="10">
        <f t="shared" si="39"/>
        <v>213.5453358669846</v>
      </c>
      <c r="J562" s="10">
        <f t="shared" si="38"/>
        <v>213.5453358669846</v>
      </c>
      <c r="K562">
        <v>30</v>
      </c>
      <c r="M562" t="str">
        <f>VLOOKUP(C562,Lookup!B:C,2,0)</f>
        <v>San Pablo</v>
      </c>
    </row>
    <row r="563" spans="2:13">
      <c r="B563" s="50">
        <f t="shared" si="37"/>
        <v>45991</v>
      </c>
      <c r="C563">
        <v>3104105</v>
      </c>
      <c r="D563">
        <v>2568986</v>
      </c>
      <c r="E563" s="3">
        <v>180149</v>
      </c>
      <c r="F563" s="3">
        <v>11153</v>
      </c>
      <c r="G563" s="3">
        <v>10316.094664133016</v>
      </c>
      <c r="H563" s="10">
        <v>836.90533586698461</v>
      </c>
      <c r="I563" s="10">
        <f t="shared" si="39"/>
        <v>836.90533586698461</v>
      </c>
      <c r="J563" s="10">
        <f t="shared" si="38"/>
        <v>836.90533586698461</v>
      </c>
      <c r="K563">
        <v>30</v>
      </c>
      <c r="M563" t="str">
        <f>VLOOKUP(C563,Lookup!B:C,2,0)</f>
        <v>San Pablo</v>
      </c>
    </row>
    <row r="564" spans="2:13">
      <c r="B564" s="50">
        <f t="shared" si="37"/>
        <v>45991</v>
      </c>
      <c r="C564">
        <v>3104105</v>
      </c>
      <c r="D564">
        <v>2568988</v>
      </c>
      <c r="E564" s="3">
        <v>139910.75</v>
      </c>
      <c r="F564" s="3">
        <v>1694.45</v>
      </c>
      <c r="G564" s="3">
        <v>1590.9046641330156</v>
      </c>
      <c r="H564" s="10">
        <v>103.54533586698459</v>
      </c>
      <c r="I564" s="10">
        <f t="shared" si="39"/>
        <v>103.54533586698459</v>
      </c>
      <c r="J564" s="10">
        <f t="shared" si="38"/>
        <v>103.54533586698459</v>
      </c>
      <c r="K564">
        <v>30</v>
      </c>
      <c r="M564" t="str">
        <f>VLOOKUP(C564,Lookup!B:C,2,0)</f>
        <v>San Pablo</v>
      </c>
    </row>
    <row r="565" spans="2:13">
      <c r="B565" s="50">
        <f t="shared" si="37"/>
        <v>45991</v>
      </c>
      <c r="C565">
        <v>3104105</v>
      </c>
      <c r="D565">
        <v>2580436</v>
      </c>
      <c r="E565" s="3">
        <v>238991.28</v>
      </c>
      <c r="F565" s="3">
        <v>19079.95</v>
      </c>
      <c r="G565" s="3">
        <v>17608.888664133017</v>
      </c>
      <c r="H565" s="10">
        <v>1471.0613358669848</v>
      </c>
      <c r="I565" s="10">
        <f t="shared" si="39"/>
        <v>1471.0613358669848</v>
      </c>
      <c r="J565" s="10">
        <f t="shared" si="38"/>
        <v>1471.0613358669848</v>
      </c>
      <c r="K565">
        <v>30</v>
      </c>
      <c r="M565" t="str">
        <f>VLOOKUP(C565,Lookup!B:C,2,0)</f>
        <v>San Pablo</v>
      </c>
    </row>
    <row r="566" spans="2:13">
      <c r="B566" s="50">
        <f t="shared" si="37"/>
        <v>45991</v>
      </c>
      <c r="C566">
        <v>3104105</v>
      </c>
      <c r="D566">
        <v>2580437</v>
      </c>
      <c r="E566" s="3">
        <v>170297.60000000001</v>
      </c>
      <c r="F566" s="3">
        <v>14488.75</v>
      </c>
      <c r="G566" s="3">
        <v>13384.984664133015</v>
      </c>
      <c r="H566" s="10">
        <v>1103.7653358669847</v>
      </c>
      <c r="I566" s="10">
        <f t="shared" si="39"/>
        <v>1103.7653358669847</v>
      </c>
      <c r="J566" s="10">
        <f t="shared" si="38"/>
        <v>1103.7653358669847</v>
      </c>
      <c r="K566">
        <v>30</v>
      </c>
      <c r="M566" t="str">
        <f>VLOOKUP(C566,Lookup!B:C,2,0)</f>
        <v>San Pablo</v>
      </c>
    </row>
    <row r="567" spans="2:13">
      <c r="B567" s="50">
        <f t="shared" si="37"/>
        <v>45991</v>
      </c>
      <c r="C567">
        <v>3104105</v>
      </c>
      <c r="D567">
        <v>2580438</v>
      </c>
      <c r="E567" s="3">
        <v>98259.92</v>
      </c>
      <c r="F567" s="3">
        <v>10433.549999999999</v>
      </c>
      <c r="G567" s="3">
        <v>9650.1982641330142</v>
      </c>
      <c r="H567" s="10">
        <v>783.35173586698465</v>
      </c>
      <c r="I567" s="10">
        <f t="shared" si="39"/>
        <v>783.35173586698465</v>
      </c>
      <c r="J567" s="10">
        <f t="shared" si="38"/>
        <v>783.35173586698465</v>
      </c>
      <c r="K567">
        <v>30</v>
      </c>
      <c r="M567" t="str">
        <f>VLOOKUP(C567,Lookup!B:C,2,0)</f>
        <v>San Pablo</v>
      </c>
    </row>
    <row r="568" spans="2:13">
      <c r="B568" s="50">
        <f t="shared" si="37"/>
        <v>45991</v>
      </c>
      <c r="C568">
        <v>3104105</v>
      </c>
      <c r="D568">
        <v>2580439</v>
      </c>
      <c r="E568" s="3">
        <v>206255.28</v>
      </c>
      <c r="F568" s="3">
        <v>19648.68</v>
      </c>
      <c r="G568" s="3">
        <v>18132.120264133016</v>
      </c>
      <c r="H568" s="10">
        <v>1516.5597358669847</v>
      </c>
      <c r="I568" s="10">
        <f t="shared" si="39"/>
        <v>1516.5597358669847</v>
      </c>
      <c r="J568" s="10">
        <f t="shared" si="38"/>
        <v>1516.5597358669847</v>
      </c>
      <c r="K568">
        <v>30</v>
      </c>
      <c r="M568" t="str">
        <f>VLOOKUP(C568,Lookup!B:C,2,0)</f>
        <v>San Pablo</v>
      </c>
    </row>
    <row r="569" spans="2:13">
      <c r="B569" s="50">
        <f t="shared" si="37"/>
        <v>45991</v>
      </c>
      <c r="C569">
        <v>3104105</v>
      </c>
      <c r="D569">
        <v>2580440</v>
      </c>
      <c r="E569" s="3">
        <v>269695.35999999999</v>
      </c>
      <c r="F569" s="3">
        <v>27191.599999999999</v>
      </c>
      <c r="G569" s="3">
        <v>25089.166664133016</v>
      </c>
      <c r="H569" s="10">
        <v>2102.4333358669846</v>
      </c>
      <c r="I569" s="10">
        <f t="shared" si="39"/>
        <v>2102.4333358669846</v>
      </c>
      <c r="J569" s="10">
        <f t="shared" si="38"/>
        <v>2102.4333358669846</v>
      </c>
      <c r="K569">
        <v>30</v>
      </c>
      <c r="M569" t="str">
        <f>VLOOKUP(C569,Lookup!B:C,2,0)</f>
        <v>San Pablo</v>
      </c>
    </row>
    <row r="570" spans="2:13">
      <c r="B570" s="50">
        <f t="shared" ref="B570:B633" si="40">B569</f>
        <v>45991</v>
      </c>
      <c r="C570">
        <v>3104105</v>
      </c>
      <c r="D570">
        <v>2580441</v>
      </c>
      <c r="E570" s="3">
        <v>153104.16</v>
      </c>
      <c r="F570" s="3">
        <v>21775.01</v>
      </c>
      <c r="G570" s="3">
        <v>20088.343864133014</v>
      </c>
      <c r="H570" s="10">
        <v>1686.6661358669844</v>
      </c>
      <c r="I570" s="10">
        <f t="shared" si="39"/>
        <v>1686.6661358669844</v>
      </c>
      <c r="J570" s="10">
        <f t="shared" si="38"/>
        <v>1686.6661358669844</v>
      </c>
      <c r="K570">
        <v>30</v>
      </c>
      <c r="M570" t="str">
        <f>VLOOKUP(C570,Lookup!B:C,2,0)</f>
        <v>San Pablo</v>
      </c>
    </row>
    <row r="571" spans="2:13">
      <c r="B571" s="50">
        <f t="shared" si="40"/>
        <v>45991</v>
      </c>
      <c r="C571">
        <v>3104105</v>
      </c>
      <c r="D571">
        <v>2580442</v>
      </c>
      <c r="E571" s="3">
        <v>165558.79999999999</v>
      </c>
      <c r="F571" s="3">
        <v>7389.03999999999</v>
      </c>
      <c r="G571" s="3">
        <v>6853.651464133005</v>
      </c>
      <c r="H571" s="10">
        <v>535.38853586698463</v>
      </c>
      <c r="I571" s="10">
        <f t="shared" si="39"/>
        <v>535.38853586698463</v>
      </c>
      <c r="J571" s="10">
        <f t="shared" si="38"/>
        <v>535.38853586698463</v>
      </c>
      <c r="K571">
        <v>30</v>
      </c>
      <c r="M571" t="str">
        <f>VLOOKUP(C571,Lookup!B:C,2,0)</f>
        <v>San Pablo</v>
      </c>
    </row>
    <row r="572" spans="2:13">
      <c r="B572" s="50">
        <f t="shared" si="40"/>
        <v>45991</v>
      </c>
      <c r="C572">
        <v>3104105</v>
      </c>
      <c r="D572">
        <v>2580443</v>
      </c>
      <c r="E572" s="3">
        <v>226918.56</v>
      </c>
      <c r="F572" s="3">
        <v>29654.9</v>
      </c>
      <c r="G572" s="3">
        <v>27446.736264133018</v>
      </c>
      <c r="H572" s="10">
        <v>2208.1637358669846</v>
      </c>
      <c r="I572" s="10">
        <f t="shared" si="39"/>
        <v>2208.1637358669846</v>
      </c>
      <c r="J572" s="10">
        <f t="shared" si="38"/>
        <v>2208.1637358669846</v>
      </c>
      <c r="K572">
        <v>30</v>
      </c>
      <c r="M572" t="str">
        <f>VLOOKUP(C572,Lookup!B:C,2,0)</f>
        <v>San Pablo</v>
      </c>
    </row>
    <row r="573" spans="2:13">
      <c r="B573" s="50">
        <f t="shared" si="40"/>
        <v>45991</v>
      </c>
      <c r="C573">
        <v>3104105</v>
      </c>
      <c r="D573">
        <v>2589448</v>
      </c>
      <c r="E573" s="3">
        <v>337858.92</v>
      </c>
      <c r="F573" s="3">
        <v>26652.48</v>
      </c>
      <c r="G573" s="3">
        <v>24563.557864133014</v>
      </c>
      <c r="H573" s="10">
        <v>2088.9221358669847</v>
      </c>
      <c r="I573" s="10">
        <f t="shared" si="39"/>
        <v>2088.9221358669847</v>
      </c>
      <c r="J573" s="10">
        <f t="shared" si="38"/>
        <v>2088.9221358669847</v>
      </c>
      <c r="K573">
        <v>30</v>
      </c>
      <c r="M573" t="str">
        <f>VLOOKUP(C573,Lookup!B:C,2,0)</f>
        <v>San Pablo</v>
      </c>
    </row>
    <row r="574" spans="2:13">
      <c r="B574" s="50">
        <f t="shared" si="40"/>
        <v>45991</v>
      </c>
      <c r="C574">
        <v>3104105</v>
      </c>
      <c r="D574">
        <v>2589449</v>
      </c>
      <c r="E574" s="3">
        <v>237677.08</v>
      </c>
      <c r="F574" s="3">
        <v>20898.169999999998</v>
      </c>
      <c r="G574" s="3">
        <v>19281.651064133013</v>
      </c>
      <c r="H574" s="10">
        <v>1616.5189358669845</v>
      </c>
      <c r="I574" s="10">
        <f t="shared" si="39"/>
        <v>1616.5189358669845</v>
      </c>
      <c r="J574" s="10">
        <f t="shared" si="38"/>
        <v>1616.5189358669845</v>
      </c>
      <c r="K574">
        <v>30</v>
      </c>
      <c r="M574" t="str">
        <f>VLOOKUP(C574,Lookup!B:C,2,0)</f>
        <v>San Pablo</v>
      </c>
    </row>
    <row r="575" spans="2:13">
      <c r="B575" s="50">
        <f t="shared" si="40"/>
        <v>45991</v>
      </c>
      <c r="C575">
        <v>3104105</v>
      </c>
      <c r="D575">
        <v>2589450</v>
      </c>
      <c r="E575" s="3">
        <v>271857.44</v>
      </c>
      <c r="F575" s="3">
        <v>22371.96</v>
      </c>
      <c r="G575" s="3">
        <v>20613.413864133014</v>
      </c>
      <c r="H575" s="10">
        <v>1758.5461358669845</v>
      </c>
      <c r="I575" s="10">
        <f t="shared" si="39"/>
        <v>1758.5461358669845</v>
      </c>
      <c r="J575" s="10">
        <f t="shared" si="38"/>
        <v>1758.5461358669845</v>
      </c>
      <c r="K575">
        <v>30</v>
      </c>
      <c r="M575" t="str">
        <f>VLOOKUP(C575,Lookup!B:C,2,0)</f>
        <v>San Pablo</v>
      </c>
    </row>
    <row r="576" spans="2:13">
      <c r="B576" s="50">
        <f t="shared" si="40"/>
        <v>45991</v>
      </c>
      <c r="C576">
        <v>3104105</v>
      </c>
      <c r="D576">
        <v>2589451</v>
      </c>
      <c r="E576" s="3">
        <v>271023.5</v>
      </c>
      <c r="F576" s="3">
        <v>35426.199999999997</v>
      </c>
      <c r="G576" s="3">
        <v>32644.949864133014</v>
      </c>
      <c r="H576" s="10">
        <v>2781.2501358669847</v>
      </c>
      <c r="I576" s="10">
        <f t="shared" si="39"/>
        <v>2781.2501358669847</v>
      </c>
      <c r="J576" s="10">
        <f t="shared" si="38"/>
        <v>2781.2501358669847</v>
      </c>
      <c r="K576">
        <v>30</v>
      </c>
      <c r="M576" t="str">
        <f>VLOOKUP(C576,Lookup!B:C,2,0)</f>
        <v>San Pablo</v>
      </c>
    </row>
    <row r="577" spans="2:13">
      <c r="B577" s="50">
        <f t="shared" si="40"/>
        <v>45991</v>
      </c>
      <c r="C577">
        <v>3104105</v>
      </c>
      <c r="D577">
        <v>2591326</v>
      </c>
      <c r="E577" s="3">
        <v>188093.35</v>
      </c>
      <c r="F577" s="3">
        <v>16811.669999999998</v>
      </c>
      <c r="G577" s="3">
        <v>15480.670264133014</v>
      </c>
      <c r="H577" s="10">
        <v>1330.9997358669846</v>
      </c>
      <c r="I577" s="10">
        <f t="shared" si="39"/>
        <v>1330.9997358669846</v>
      </c>
      <c r="J577" s="10">
        <f t="shared" si="38"/>
        <v>1330.9997358669846</v>
      </c>
      <c r="K577">
        <v>30</v>
      </c>
      <c r="M577" t="str">
        <f>VLOOKUP(C577,Lookup!B:C,2,0)</f>
        <v>San Pablo</v>
      </c>
    </row>
    <row r="578" spans="2:13">
      <c r="B578" s="50">
        <f t="shared" si="40"/>
        <v>45991</v>
      </c>
      <c r="C578">
        <v>3104105</v>
      </c>
      <c r="D578">
        <v>2591327</v>
      </c>
      <c r="E578" s="3">
        <v>160346.29999999999</v>
      </c>
      <c r="F578" s="3">
        <v>19831.91</v>
      </c>
      <c r="G578" s="3">
        <v>18220.343864133014</v>
      </c>
      <c r="H578" s="10">
        <v>1611.5661358669845</v>
      </c>
      <c r="I578" s="10">
        <f t="shared" si="39"/>
        <v>1611.5661358669845</v>
      </c>
      <c r="J578" s="10">
        <f t="shared" ref="J578:J641" si="41">I578</f>
        <v>1611.5661358669845</v>
      </c>
      <c r="K578">
        <v>30</v>
      </c>
      <c r="M578" t="str">
        <f>VLOOKUP(C578,Lookup!B:C,2,0)</f>
        <v>San Pablo</v>
      </c>
    </row>
    <row r="579" spans="2:13">
      <c r="B579" s="50">
        <f t="shared" si="40"/>
        <v>45991</v>
      </c>
      <c r="C579">
        <v>3104105</v>
      </c>
      <c r="D579">
        <v>2591328</v>
      </c>
      <c r="E579" s="3">
        <v>181339.1</v>
      </c>
      <c r="F579" s="3">
        <v>16753.91</v>
      </c>
      <c r="G579" s="3">
        <v>15333.400664133016</v>
      </c>
      <c r="H579" s="10">
        <v>1420.5093358669847</v>
      </c>
      <c r="I579" s="10">
        <f t="shared" si="39"/>
        <v>1420.5093358669847</v>
      </c>
      <c r="J579" s="10">
        <f t="shared" si="41"/>
        <v>1420.5093358669847</v>
      </c>
      <c r="K579">
        <v>30</v>
      </c>
      <c r="M579" t="str">
        <f>VLOOKUP(C579,Lookup!B:C,2,0)</f>
        <v>San Pablo</v>
      </c>
    </row>
    <row r="580" spans="2:13">
      <c r="B580" s="50">
        <f t="shared" si="40"/>
        <v>45991</v>
      </c>
      <c r="C580">
        <v>3104105</v>
      </c>
      <c r="D580">
        <v>2591329</v>
      </c>
      <c r="E580" s="3">
        <v>246059.95</v>
      </c>
      <c r="F580" s="3">
        <v>20129.57</v>
      </c>
      <c r="G580" s="3">
        <v>18478.816664133014</v>
      </c>
      <c r="H580" s="10">
        <v>1650.7533358669846</v>
      </c>
      <c r="I580" s="10">
        <f t="shared" ref="I580:I643" si="42">H580</f>
        <v>1650.7533358669846</v>
      </c>
      <c r="J580" s="10">
        <f t="shared" si="41"/>
        <v>1650.7533358669846</v>
      </c>
      <c r="K580">
        <v>30</v>
      </c>
      <c r="M580" t="str">
        <f>VLOOKUP(C580,Lookup!B:C,2,0)</f>
        <v>San Pablo</v>
      </c>
    </row>
    <row r="581" spans="2:13">
      <c r="B581" s="50">
        <f t="shared" si="40"/>
        <v>45991</v>
      </c>
      <c r="C581">
        <v>3104105</v>
      </c>
      <c r="D581">
        <v>2591330</v>
      </c>
      <c r="E581" s="3">
        <v>239755.95</v>
      </c>
      <c r="F581" s="3">
        <v>12132.24</v>
      </c>
      <c r="G581" s="3">
        <v>11085.658664133014</v>
      </c>
      <c r="H581" s="10">
        <v>1046.5813358669848</v>
      </c>
      <c r="I581" s="10">
        <f t="shared" si="42"/>
        <v>1046.5813358669848</v>
      </c>
      <c r="J581" s="10">
        <f t="shared" si="41"/>
        <v>1046.5813358669848</v>
      </c>
      <c r="K581">
        <v>30</v>
      </c>
      <c r="M581" t="str">
        <f>VLOOKUP(C581,Lookup!B:C,2,0)</f>
        <v>San Pablo</v>
      </c>
    </row>
    <row r="582" spans="2:13">
      <c r="B582" s="50">
        <f t="shared" si="40"/>
        <v>45991</v>
      </c>
      <c r="C582">
        <v>3104105</v>
      </c>
      <c r="D582">
        <v>2591331</v>
      </c>
      <c r="E582" s="3">
        <v>188210.25</v>
      </c>
      <c r="F582" s="3">
        <v>19428.43</v>
      </c>
      <c r="G582" s="3">
        <v>17838.547064133014</v>
      </c>
      <c r="H582" s="10">
        <v>1589.8829358669848</v>
      </c>
      <c r="I582" s="10">
        <f t="shared" si="42"/>
        <v>1589.8829358669848</v>
      </c>
      <c r="J582" s="10">
        <f t="shared" si="41"/>
        <v>1589.8829358669848</v>
      </c>
      <c r="K582">
        <v>30</v>
      </c>
      <c r="M582" t="str">
        <f>VLOOKUP(C582,Lookup!B:C,2,0)</f>
        <v>San Pablo</v>
      </c>
    </row>
    <row r="583" spans="2:13">
      <c r="B583" s="50">
        <f t="shared" si="40"/>
        <v>45991</v>
      </c>
      <c r="C583">
        <v>3104105</v>
      </c>
      <c r="D583">
        <v>2591332</v>
      </c>
      <c r="E583" s="3">
        <v>126199.35</v>
      </c>
      <c r="F583" s="3">
        <v>7097.9400000000096</v>
      </c>
      <c r="G583" s="3">
        <v>6543.3346641330245</v>
      </c>
      <c r="H583" s="10">
        <v>554.60533586698466</v>
      </c>
      <c r="I583" s="10">
        <f t="shared" si="42"/>
        <v>554.60533586698466</v>
      </c>
      <c r="J583" s="10">
        <f t="shared" si="41"/>
        <v>554.60533586698466</v>
      </c>
      <c r="K583">
        <v>30</v>
      </c>
      <c r="M583" t="str">
        <f>VLOOKUP(C583,Lookup!B:C,2,0)</f>
        <v>San Pablo</v>
      </c>
    </row>
    <row r="584" spans="2:13">
      <c r="B584" s="50">
        <f t="shared" si="40"/>
        <v>45991</v>
      </c>
      <c r="C584">
        <v>3104105</v>
      </c>
      <c r="D584">
        <v>2591333</v>
      </c>
      <c r="E584" s="3">
        <v>152311.04999999999</v>
      </c>
      <c r="F584" s="3">
        <v>8444.3999999999905</v>
      </c>
      <c r="G584" s="3">
        <v>7791.9450641330059</v>
      </c>
      <c r="H584" s="10">
        <v>652.45493586698467</v>
      </c>
      <c r="I584" s="10">
        <f t="shared" si="42"/>
        <v>652.45493586698467</v>
      </c>
      <c r="J584" s="10">
        <f t="shared" si="41"/>
        <v>652.45493586698467</v>
      </c>
      <c r="K584">
        <v>30</v>
      </c>
      <c r="M584" t="str">
        <f>VLOOKUP(C584,Lookup!B:C,2,0)</f>
        <v>San Pablo</v>
      </c>
    </row>
    <row r="585" spans="2:13">
      <c r="B585" s="50">
        <f t="shared" si="40"/>
        <v>45991</v>
      </c>
      <c r="C585">
        <v>3104105</v>
      </c>
      <c r="D585">
        <v>2598314</v>
      </c>
      <c r="E585" s="3">
        <v>223243</v>
      </c>
      <c r="F585" s="3">
        <v>14071.29</v>
      </c>
      <c r="G585" s="3">
        <v>13033.184664133016</v>
      </c>
      <c r="H585" s="10">
        <v>1038.1053358669847</v>
      </c>
      <c r="I585" s="10">
        <f t="shared" si="42"/>
        <v>1038.1053358669847</v>
      </c>
      <c r="J585" s="10">
        <f t="shared" si="41"/>
        <v>1038.1053358669847</v>
      </c>
      <c r="K585">
        <v>30</v>
      </c>
      <c r="M585" t="str">
        <f>VLOOKUP(C585,Lookup!B:C,2,0)</f>
        <v>San Pablo</v>
      </c>
    </row>
    <row r="586" spans="2:13">
      <c r="B586" s="50">
        <f t="shared" si="40"/>
        <v>45991</v>
      </c>
      <c r="C586">
        <v>3104105</v>
      </c>
      <c r="D586">
        <v>2598317</v>
      </c>
      <c r="E586" s="3">
        <v>219770</v>
      </c>
      <c r="F586" s="3">
        <v>18197.599999999999</v>
      </c>
      <c r="G586" s="3">
        <v>16755.654664133013</v>
      </c>
      <c r="H586" s="10">
        <v>1441.9453358669846</v>
      </c>
      <c r="I586" s="10">
        <f t="shared" si="42"/>
        <v>1441.9453358669846</v>
      </c>
      <c r="J586" s="10">
        <f t="shared" si="41"/>
        <v>1441.9453358669846</v>
      </c>
      <c r="K586">
        <v>30</v>
      </c>
      <c r="M586" t="str">
        <f>VLOOKUP(C586,Lookup!B:C,2,0)</f>
        <v>San Pablo</v>
      </c>
    </row>
    <row r="587" spans="2:13">
      <c r="B587" s="50">
        <f t="shared" si="40"/>
        <v>45991</v>
      </c>
      <c r="C587">
        <v>3104105</v>
      </c>
      <c r="D587">
        <v>2604820</v>
      </c>
      <c r="E587" s="3">
        <v>451337.6</v>
      </c>
      <c r="F587" s="3">
        <v>51659.53</v>
      </c>
      <c r="G587" s="3">
        <v>47560.499064133015</v>
      </c>
      <c r="H587" s="10">
        <v>4099.0309358669847</v>
      </c>
      <c r="I587" s="10">
        <f t="shared" si="42"/>
        <v>4099.0309358669847</v>
      </c>
      <c r="J587" s="10">
        <f t="shared" si="41"/>
        <v>4099.0309358669847</v>
      </c>
      <c r="K587">
        <v>30</v>
      </c>
      <c r="M587" t="str">
        <f>VLOOKUP(C587,Lookup!B:C,2,0)</f>
        <v>San Pablo</v>
      </c>
    </row>
    <row r="588" spans="2:13">
      <c r="B588" s="50">
        <f t="shared" si="40"/>
        <v>45991</v>
      </c>
      <c r="C588">
        <v>3104105</v>
      </c>
      <c r="D588">
        <v>2604821</v>
      </c>
      <c r="E588" s="3">
        <v>319915.8</v>
      </c>
      <c r="F588" s="3">
        <v>17329.59</v>
      </c>
      <c r="G588" s="3">
        <v>15843.480664133016</v>
      </c>
      <c r="H588" s="10">
        <v>1486.1093358669846</v>
      </c>
      <c r="I588" s="10">
        <f t="shared" si="42"/>
        <v>1486.1093358669846</v>
      </c>
      <c r="J588" s="10">
        <f t="shared" si="41"/>
        <v>1486.1093358669846</v>
      </c>
      <c r="K588">
        <v>30</v>
      </c>
      <c r="M588" t="str">
        <f>VLOOKUP(C588,Lookup!B:C,2,0)</f>
        <v>San Pablo</v>
      </c>
    </row>
    <row r="589" spans="2:13">
      <c r="B589" s="50">
        <f t="shared" si="40"/>
        <v>45991</v>
      </c>
      <c r="C589">
        <v>3104105</v>
      </c>
      <c r="D589">
        <v>2604822</v>
      </c>
      <c r="E589" s="3">
        <v>353722.6</v>
      </c>
      <c r="F589" s="3">
        <v>44542.84</v>
      </c>
      <c r="G589" s="3">
        <v>41087.222664133013</v>
      </c>
      <c r="H589" s="10">
        <v>3455.6173358669848</v>
      </c>
      <c r="I589" s="10">
        <f t="shared" si="42"/>
        <v>3455.6173358669848</v>
      </c>
      <c r="J589" s="10">
        <f t="shared" si="41"/>
        <v>3455.6173358669848</v>
      </c>
      <c r="K589">
        <v>30</v>
      </c>
      <c r="M589" t="str">
        <f>VLOOKUP(C589,Lookup!B:C,2,0)</f>
        <v>San Pablo</v>
      </c>
    </row>
    <row r="590" spans="2:13">
      <c r="B590" s="50">
        <f t="shared" si="40"/>
        <v>45991</v>
      </c>
      <c r="C590">
        <v>3104105</v>
      </c>
      <c r="D590">
        <v>2604823</v>
      </c>
      <c r="E590" s="3">
        <v>283527.59999999998</v>
      </c>
      <c r="F590" s="3">
        <v>28463.26</v>
      </c>
      <c r="G590" s="3">
        <v>26227.638664133014</v>
      </c>
      <c r="H590" s="10">
        <v>2235.6213358669847</v>
      </c>
      <c r="I590" s="10">
        <f t="shared" si="42"/>
        <v>2235.6213358669847</v>
      </c>
      <c r="J590" s="10">
        <f t="shared" si="41"/>
        <v>2235.6213358669847</v>
      </c>
      <c r="K590">
        <v>30</v>
      </c>
      <c r="M590" t="str">
        <f>VLOOKUP(C590,Lookup!B:C,2,0)</f>
        <v>San Pablo</v>
      </c>
    </row>
    <row r="591" spans="2:13">
      <c r="B591" s="50">
        <f t="shared" si="40"/>
        <v>45991</v>
      </c>
      <c r="C591">
        <v>3104105</v>
      </c>
      <c r="D591">
        <v>2604824</v>
      </c>
      <c r="E591" s="3">
        <v>454986.8</v>
      </c>
      <c r="F591" s="3">
        <v>52828.99</v>
      </c>
      <c r="G591" s="3">
        <v>48449.031064133014</v>
      </c>
      <c r="H591" s="10">
        <v>4379.9589358669846</v>
      </c>
      <c r="I591" s="10">
        <f t="shared" si="42"/>
        <v>4379.9589358669846</v>
      </c>
      <c r="J591" s="10">
        <f t="shared" si="41"/>
        <v>4379.9589358669846</v>
      </c>
      <c r="K591">
        <v>30</v>
      </c>
      <c r="M591" t="str">
        <f>VLOOKUP(C591,Lookup!B:C,2,0)</f>
        <v>San Pablo</v>
      </c>
    </row>
    <row r="592" spans="2:13">
      <c r="B592" s="50">
        <f t="shared" si="40"/>
        <v>45991</v>
      </c>
      <c r="C592">
        <v>3104105</v>
      </c>
      <c r="D592">
        <v>2604825</v>
      </c>
      <c r="E592" s="3">
        <v>426883.8</v>
      </c>
      <c r="F592" s="3">
        <v>62017.86</v>
      </c>
      <c r="G592" s="3">
        <v>56882.914664133015</v>
      </c>
      <c r="H592" s="10">
        <v>5134.9453358669844</v>
      </c>
      <c r="I592" s="10">
        <f t="shared" si="42"/>
        <v>5134.9453358669844</v>
      </c>
      <c r="J592" s="10">
        <f t="shared" si="41"/>
        <v>5134.9453358669844</v>
      </c>
      <c r="K592">
        <v>30</v>
      </c>
      <c r="M592" t="str">
        <f>VLOOKUP(C592,Lookup!B:C,2,0)</f>
        <v>San Pablo</v>
      </c>
    </row>
    <row r="593" spans="2:13">
      <c r="B593" s="50">
        <f t="shared" si="40"/>
        <v>45991</v>
      </c>
      <c r="C593">
        <v>3104105</v>
      </c>
      <c r="D593">
        <v>2609332</v>
      </c>
      <c r="E593" s="3">
        <v>350455.2</v>
      </c>
      <c r="F593" s="3">
        <v>35742.74</v>
      </c>
      <c r="G593" s="3">
        <v>32903.080264133016</v>
      </c>
      <c r="H593" s="10">
        <v>2839.6597358669846</v>
      </c>
      <c r="I593" s="10">
        <f t="shared" si="42"/>
        <v>2839.6597358669846</v>
      </c>
      <c r="J593" s="10">
        <f t="shared" si="41"/>
        <v>2839.6597358669846</v>
      </c>
      <c r="K593">
        <v>30</v>
      </c>
      <c r="M593" t="str">
        <f>VLOOKUP(C593,Lookup!B:C,2,0)</f>
        <v>San Pablo</v>
      </c>
    </row>
    <row r="594" spans="2:13">
      <c r="B594" s="50">
        <f t="shared" si="40"/>
        <v>45991</v>
      </c>
      <c r="C594">
        <v>3104105</v>
      </c>
      <c r="D594">
        <v>2609333</v>
      </c>
      <c r="E594" s="3">
        <v>358920</v>
      </c>
      <c r="F594" s="3">
        <v>33220.78</v>
      </c>
      <c r="G594" s="3">
        <v>30559.860264133014</v>
      </c>
      <c r="H594" s="10">
        <v>2660.9197358669849</v>
      </c>
      <c r="I594" s="10">
        <f t="shared" si="42"/>
        <v>2660.9197358669849</v>
      </c>
      <c r="J594" s="10">
        <f t="shared" si="41"/>
        <v>2660.9197358669849</v>
      </c>
      <c r="K594">
        <v>30</v>
      </c>
      <c r="M594" t="str">
        <f>VLOOKUP(C594,Lookup!B:C,2,0)</f>
        <v>San Pablo</v>
      </c>
    </row>
    <row r="595" spans="2:13">
      <c r="B595" s="50">
        <f t="shared" si="40"/>
        <v>45991</v>
      </c>
      <c r="C595">
        <v>3104105</v>
      </c>
      <c r="D595">
        <v>2609334</v>
      </c>
      <c r="E595" s="3">
        <v>327095.59999999998</v>
      </c>
      <c r="F595" s="3">
        <v>27542.86</v>
      </c>
      <c r="G595" s="3">
        <v>25370.137864133016</v>
      </c>
      <c r="H595" s="10">
        <v>2172.7221358669844</v>
      </c>
      <c r="I595" s="10">
        <f t="shared" si="42"/>
        <v>2172.7221358669844</v>
      </c>
      <c r="J595" s="10">
        <f t="shared" si="41"/>
        <v>2172.7221358669844</v>
      </c>
      <c r="K595">
        <v>30</v>
      </c>
      <c r="M595" t="str">
        <f>VLOOKUP(C595,Lookup!B:C,2,0)</f>
        <v>San Pablo</v>
      </c>
    </row>
    <row r="596" spans="2:13">
      <c r="B596" s="50">
        <f t="shared" si="40"/>
        <v>45991</v>
      </c>
      <c r="C596">
        <v>3104105</v>
      </c>
      <c r="D596">
        <v>2609335</v>
      </c>
      <c r="E596" s="3">
        <v>416766.4</v>
      </c>
      <c r="F596" s="3">
        <v>38673.24</v>
      </c>
      <c r="G596" s="3">
        <v>35605.260264133016</v>
      </c>
      <c r="H596" s="10">
        <v>3067.9797358669848</v>
      </c>
      <c r="I596" s="10">
        <f t="shared" si="42"/>
        <v>3067.9797358669848</v>
      </c>
      <c r="J596" s="10">
        <f t="shared" si="41"/>
        <v>3067.9797358669848</v>
      </c>
      <c r="K596">
        <v>30</v>
      </c>
      <c r="M596" t="str">
        <f>VLOOKUP(C596,Lookup!B:C,2,0)</f>
        <v>San Pablo</v>
      </c>
    </row>
    <row r="597" spans="2:13">
      <c r="B597" s="50">
        <f t="shared" si="40"/>
        <v>45991</v>
      </c>
      <c r="C597">
        <v>3104105</v>
      </c>
      <c r="D597">
        <v>2609336</v>
      </c>
      <c r="E597" s="3">
        <v>299889.88</v>
      </c>
      <c r="F597" s="3">
        <v>31778.53</v>
      </c>
      <c r="G597" s="3">
        <v>29237.586264133013</v>
      </c>
      <c r="H597" s="10">
        <v>2540.9437358669848</v>
      </c>
      <c r="I597" s="10">
        <f t="shared" si="42"/>
        <v>2540.9437358669848</v>
      </c>
      <c r="J597" s="10">
        <f t="shared" si="41"/>
        <v>2540.9437358669848</v>
      </c>
      <c r="K597">
        <v>30</v>
      </c>
      <c r="M597" t="str">
        <f>VLOOKUP(C597,Lookup!B:C,2,0)</f>
        <v>San Pablo</v>
      </c>
    </row>
    <row r="598" spans="2:13">
      <c r="B598" s="50">
        <f t="shared" si="40"/>
        <v>45991</v>
      </c>
      <c r="C598">
        <v>3104105</v>
      </c>
      <c r="D598">
        <v>2609337</v>
      </c>
      <c r="E598" s="3">
        <v>370236.8</v>
      </c>
      <c r="F598" s="3">
        <v>24288.01</v>
      </c>
      <c r="G598" s="3">
        <v>22363.892664133014</v>
      </c>
      <c r="H598" s="10">
        <v>1924.1173358669848</v>
      </c>
      <c r="I598" s="10">
        <f t="shared" si="42"/>
        <v>1924.1173358669848</v>
      </c>
      <c r="J598" s="10">
        <f t="shared" si="41"/>
        <v>1924.1173358669848</v>
      </c>
      <c r="K598">
        <v>30</v>
      </c>
      <c r="M598" t="str">
        <f>VLOOKUP(C598,Lookup!B:C,2,0)</f>
        <v>San Pablo</v>
      </c>
    </row>
    <row r="599" spans="2:13">
      <c r="B599" s="50">
        <f t="shared" si="40"/>
        <v>45991</v>
      </c>
      <c r="C599">
        <v>3104105</v>
      </c>
      <c r="D599">
        <v>2609338</v>
      </c>
      <c r="E599" s="3">
        <v>338135.6</v>
      </c>
      <c r="F599" s="3">
        <v>35080.78</v>
      </c>
      <c r="G599" s="3">
        <v>32298.738664133016</v>
      </c>
      <c r="H599" s="10">
        <v>2782.0413358669844</v>
      </c>
      <c r="I599" s="10">
        <f t="shared" si="42"/>
        <v>2782.0413358669844</v>
      </c>
      <c r="J599" s="10">
        <f t="shared" si="41"/>
        <v>2782.0413358669844</v>
      </c>
      <c r="K599">
        <v>30</v>
      </c>
      <c r="M599" t="str">
        <f>VLOOKUP(C599,Lookup!B:C,2,0)</f>
        <v>San Pablo</v>
      </c>
    </row>
    <row r="600" spans="2:13">
      <c r="B600" s="50">
        <f t="shared" si="40"/>
        <v>45991</v>
      </c>
      <c r="C600">
        <v>3104105</v>
      </c>
      <c r="D600">
        <v>2609339</v>
      </c>
      <c r="E600" s="3">
        <v>342293.6</v>
      </c>
      <c r="F600" s="3">
        <v>23110.01</v>
      </c>
      <c r="G600" s="3">
        <v>21216.330264133016</v>
      </c>
      <c r="H600" s="10">
        <v>1893.6797358669846</v>
      </c>
      <c r="I600" s="10">
        <f t="shared" si="42"/>
        <v>1893.6797358669846</v>
      </c>
      <c r="J600" s="10">
        <f t="shared" si="41"/>
        <v>1893.6797358669846</v>
      </c>
      <c r="K600">
        <v>30</v>
      </c>
      <c r="M600" t="str">
        <f>VLOOKUP(C600,Lookup!B:C,2,0)</f>
        <v>San Pablo</v>
      </c>
    </row>
    <row r="601" spans="2:13">
      <c r="B601" s="50">
        <f t="shared" si="40"/>
        <v>45991</v>
      </c>
      <c r="C601">
        <v>3104105</v>
      </c>
      <c r="D601">
        <v>2609340</v>
      </c>
      <c r="E601" s="3">
        <v>257742.12</v>
      </c>
      <c r="F601" s="3">
        <v>29906.79</v>
      </c>
      <c r="G601" s="3">
        <v>27524.616664133016</v>
      </c>
      <c r="H601" s="10">
        <v>2382.1733358669844</v>
      </c>
      <c r="I601" s="10">
        <f t="shared" si="42"/>
        <v>2382.1733358669844</v>
      </c>
      <c r="J601" s="10">
        <f t="shared" si="41"/>
        <v>2382.1733358669844</v>
      </c>
      <c r="K601">
        <v>30</v>
      </c>
      <c r="M601" t="str">
        <f>VLOOKUP(C601,Lookup!B:C,2,0)</f>
        <v>San Pablo</v>
      </c>
    </row>
    <row r="602" spans="2:13">
      <c r="B602" s="50">
        <f t="shared" si="40"/>
        <v>45991</v>
      </c>
      <c r="C602">
        <v>3104105</v>
      </c>
      <c r="D602">
        <v>2609341</v>
      </c>
      <c r="E602" s="3">
        <v>305319.5</v>
      </c>
      <c r="F602" s="3">
        <v>17064.43</v>
      </c>
      <c r="G602" s="3">
        <v>15770.600664133015</v>
      </c>
      <c r="H602" s="10">
        <v>1293.8293358669846</v>
      </c>
      <c r="I602" s="10">
        <f t="shared" si="42"/>
        <v>1293.8293358669846</v>
      </c>
      <c r="J602" s="10">
        <f t="shared" si="41"/>
        <v>1293.8293358669846</v>
      </c>
      <c r="K602">
        <v>30</v>
      </c>
      <c r="M602" t="str">
        <f>VLOOKUP(C602,Lookup!B:C,2,0)</f>
        <v>San Pablo</v>
      </c>
    </row>
    <row r="603" spans="2:13">
      <c r="B603" s="50">
        <f t="shared" si="40"/>
        <v>45991</v>
      </c>
      <c r="C603">
        <v>3104105</v>
      </c>
      <c r="D603">
        <v>2609342</v>
      </c>
      <c r="E603" s="3">
        <v>367170.9</v>
      </c>
      <c r="F603" s="3">
        <v>28153.07</v>
      </c>
      <c r="G603" s="3">
        <v>25979.599864133015</v>
      </c>
      <c r="H603" s="10">
        <v>2173.4701358669849</v>
      </c>
      <c r="I603" s="10">
        <f t="shared" si="42"/>
        <v>2173.4701358669849</v>
      </c>
      <c r="J603" s="10">
        <f t="shared" si="41"/>
        <v>2173.4701358669849</v>
      </c>
      <c r="K603">
        <v>30</v>
      </c>
      <c r="M603" t="str">
        <f>VLOOKUP(C603,Lookup!B:C,2,0)</f>
        <v>San Pablo</v>
      </c>
    </row>
    <row r="604" spans="2:13">
      <c r="B604" s="50">
        <f t="shared" si="40"/>
        <v>45991</v>
      </c>
      <c r="C604">
        <v>3104105</v>
      </c>
      <c r="D604">
        <v>2609343</v>
      </c>
      <c r="E604" s="3">
        <v>421794.12</v>
      </c>
      <c r="F604" s="3">
        <v>36858.620000000003</v>
      </c>
      <c r="G604" s="3">
        <v>33936.661064133019</v>
      </c>
      <c r="H604" s="10">
        <v>2921.9589358669846</v>
      </c>
      <c r="I604" s="10">
        <f t="shared" si="42"/>
        <v>2921.9589358669846</v>
      </c>
      <c r="J604" s="10">
        <f t="shared" si="41"/>
        <v>2921.9589358669846</v>
      </c>
      <c r="K604">
        <v>30</v>
      </c>
      <c r="M604" t="str">
        <f>VLOOKUP(C604,Lookup!B:C,2,0)</f>
        <v>San Pablo</v>
      </c>
    </row>
    <row r="605" spans="2:13">
      <c r="B605" s="50">
        <f t="shared" si="40"/>
        <v>45991</v>
      </c>
      <c r="C605">
        <v>3104105</v>
      </c>
      <c r="D605">
        <v>2609344</v>
      </c>
      <c r="E605" s="3">
        <v>330873.15999999997</v>
      </c>
      <c r="F605" s="3">
        <v>39610.39</v>
      </c>
      <c r="G605" s="3">
        <v>36497.504664133012</v>
      </c>
      <c r="H605" s="10">
        <v>3112.8853358669849</v>
      </c>
      <c r="I605" s="10">
        <f t="shared" si="42"/>
        <v>3112.8853358669849</v>
      </c>
      <c r="J605" s="10">
        <f t="shared" si="41"/>
        <v>3112.8853358669849</v>
      </c>
      <c r="K605">
        <v>30</v>
      </c>
      <c r="M605" t="str">
        <f>VLOOKUP(C605,Lookup!B:C,2,0)</f>
        <v>San Pablo</v>
      </c>
    </row>
    <row r="606" spans="2:13">
      <c r="B606" s="50">
        <f t="shared" si="40"/>
        <v>45991</v>
      </c>
      <c r="C606">
        <v>3104105</v>
      </c>
      <c r="D606">
        <v>2609345</v>
      </c>
      <c r="E606" s="3">
        <v>263560</v>
      </c>
      <c r="F606" s="3">
        <v>31551.06</v>
      </c>
      <c r="G606" s="3">
        <v>29058.806664133015</v>
      </c>
      <c r="H606" s="10">
        <v>2492.2533358669843</v>
      </c>
      <c r="I606" s="10">
        <f t="shared" si="42"/>
        <v>2492.2533358669843</v>
      </c>
      <c r="J606" s="10">
        <f t="shared" si="41"/>
        <v>2492.2533358669843</v>
      </c>
      <c r="K606">
        <v>30</v>
      </c>
      <c r="M606" t="str">
        <f>VLOOKUP(C606,Lookup!B:C,2,0)</f>
        <v>San Pablo</v>
      </c>
    </row>
    <row r="607" spans="2:13">
      <c r="B607" s="50">
        <f t="shared" si="40"/>
        <v>45991</v>
      </c>
      <c r="C607">
        <v>3104105</v>
      </c>
      <c r="D607">
        <v>2609346</v>
      </c>
      <c r="E607" s="3">
        <v>400399.58</v>
      </c>
      <c r="F607" s="3">
        <v>50765.45</v>
      </c>
      <c r="G607" s="3">
        <v>46746.807864133014</v>
      </c>
      <c r="H607" s="10">
        <v>4018.6421358669845</v>
      </c>
      <c r="I607" s="10">
        <f t="shared" si="42"/>
        <v>4018.6421358669845</v>
      </c>
      <c r="J607" s="10">
        <f t="shared" si="41"/>
        <v>4018.6421358669845</v>
      </c>
      <c r="K607">
        <v>30</v>
      </c>
      <c r="M607" t="str">
        <f>VLOOKUP(C607,Lookup!B:C,2,0)</f>
        <v>San Pablo</v>
      </c>
    </row>
    <row r="608" spans="2:13">
      <c r="B608" s="50">
        <f t="shared" si="40"/>
        <v>45991</v>
      </c>
      <c r="C608">
        <v>3104105</v>
      </c>
      <c r="D608">
        <v>2609474</v>
      </c>
      <c r="E608" s="3">
        <v>169180.4</v>
      </c>
      <c r="F608" s="3">
        <v>19652.23</v>
      </c>
      <c r="G608" s="3">
        <v>18256.251864133013</v>
      </c>
      <c r="H608" s="10">
        <v>1395.9781358669845</v>
      </c>
      <c r="I608" s="10">
        <f t="shared" si="42"/>
        <v>1395.9781358669845</v>
      </c>
      <c r="J608" s="10">
        <f t="shared" si="41"/>
        <v>1395.9781358669845</v>
      </c>
      <c r="K608">
        <v>30</v>
      </c>
      <c r="M608" t="str">
        <f>VLOOKUP(C608,Lookup!B:C,2,0)</f>
        <v>San Pablo</v>
      </c>
    </row>
    <row r="609" spans="2:13">
      <c r="B609" s="50">
        <f t="shared" si="40"/>
        <v>45991</v>
      </c>
      <c r="C609">
        <v>3104105</v>
      </c>
      <c r="D609">
        <v>2609475</v>
      </c>
      <c r="E609" s="3">
        <v>154367</v>
      </c>
      <c r="F609" s="3">
        <v>14928.14</v>
      </c>
      <c r="G609" s="3">
        <v>13775.894664133015</v>
      </c>
      <c r="H609" s="10">
        <v>1152.2453358669845</v>
      </c>
      <c r="I609" s="10">
        <f t="shared" si="42"/>
        <v>1152.2453358669845</v>
      </c>
      <c r="J609" s="10">
        <f t="shared" si="41"/>
        <v>1152.2453358669845</v>
      </c>
      <c r="K609">
        <v>30</v>
      </c>
      <c r="M609" t="str">
        <f>VLOOKUP(C609,Lookup!B:C,2,0)</f>
        <v>San Pablo</v>
      </c>
    </row>
    <row r="610" spans="2:13">
      <c r="B610" s="50">
        <f t="shared" si="40"/>
        <v>45991</v>
      </c>
      <c r="C610">
        <v>3104105</v>
      </c>
      <c r="D610">
        <v>2609476</v>
      </c>
      <c r="E610" s="3">
        <v>235237.2</v>
      </c>
      <c r="F610" s="3">
        <v>19982.71</v>
      </c>
      <c r="G610" s="3">
        <v>18403.467064133016</v>
      </c>
      <c r="H610" s="10">
        <v>1579.2429358669847</v>
      </c>
      <c r="I610" s="10">
        <f t="shared" si="42"/>
        <v>1579.2429358669847</v>
      </c>
      <c r="J610" s="10">
        <f t="shared" si="41"/>
        <v>1579.2429358669847</v>
      </c>
      <c r="K610">
        <v>30</v>
      </c>
      <c r="M610" t="str">
        <f>VLOOKUP(C610,Lookup!B:C,2,0)</f>
        <v>San Pablo</v>
      </c>
    </row>
    <row r="611" spans="2:13">
      <c r="B611" s="50">
        <f t="shared" si="40"/>
        <v>45991</v>
      </c>
      <c r="C611">
        <v>3104105</v>
      </c>
      <c r="D611">
        <v>2609477</v>
      </c>
      <c r="E611" s="3">
        <v>171691.6</v>
      </c>
      <c r="F611" s="3">
        <v>16956.61</v>
      </c>
      <c r="G611" s="3">
        <v>15657.540664133016</v>
      </c>
      <c r="H611" s="10">
        <v>1299.0693358669846</v>
      </c>
      <c r="I611" s="10">
        <f t="shared" si="42"/>
        <v>1299.0693358669846</v>
      </c>
      <c r="J611" s="10">
        <f t="shared" si="41"/>
        <v>1299.0693358669846</v>
      </c>
      <c r="K611">
        <v>30</v>
      </c>
      <c r="M611" t="str">
        <f>VLOOKUP(C611,Lookup!B:C,2,0)</f>
        <v>San Pablo</v>
      </c>
    </row>
    <row r="612" spans="2:13">
      <c r="B612" s="50">
        <f t="shared" si="40"/>
        <v>45991</v>
      </c>
      <c r="C612">
        <v>3104105</v>
      </c>
      <c r="D612">
        <v>2609478</v>
      </c>
      <c r="E612" s="3">
        <v>224478</v>
      </c>
      <c r="F612" s="3">
        <v>21582.49</v>
      </c>
      <c r="G612" s="3">
        <v>19904.346264133019</v>
      </c>
      <c r="H612" s="10">
        <v>1678.1437358669846</v>
      </c>
      <c r="I612" s="10">
        <f t="shared" si="42"/>
        <v>1678.1437358669846</v>
      </c>
      <c r="J612" s="10">
        <f t="shared" si="41"/>
        <v>1678.1437358669846</v>
      </c>
      <c r="K612">
        <v>30</v>
      </c>
      <c r="M612" t="str">
        <f>VLOOKUP(C612,Lookup!B:C,2,0)</f>
        <v>San Pablo</v>
      </c>
    </row>
    <row r="613" spans="2:13">
      <c r="B613" s="50">
        <f t="shared" si="40"/>
        <v>45991</v>
      </c>
      <c r="C613">
        <v>3104105</v>
      </c>
      <c r="D613">
        <v>2609479</v>
      </c>
      <c r="E613" s="3">
        <v>276369.75</v>
      </c>
      <c r="F613" s="3">
        <v>20239.63</v>
      </c>
      <c r="G613" s="3">
        <v>18669.944664133018</v>
      </c>
      <c r="H613" s="10">
        <v>1569.6853358669846</v>
      </c>
      <c r="I613" s="10">
        <f t="shared" si="42"/>
        <v>1569.6853358669846</v>
      </c>
      <c r="J613" s="10">
        <f t="shared" si="41"/>
        <v>1569.6853358669846</v>
      </c>
      <c r="K613">
        <v>30</v>
      </c>
      <c r="M613" t="str">
        <f>VLOOKUP(C613,Lookup!B:C,2,0)</f>
        <v>San Pablo</v>
      </c>
    </row>
    <row r="614" spans="2:13">
      <c r="B614" s="50">
        <f t="shared" si="40"/>
        <v>45991</v>
      </c>
      <c r="C614">
        <v>3104105</v>
      </c>
      <c r="D614">
        <v>2609480</v>
      </c>
      <c r="E614" s="3">
        <v>219030.75</v>
      </c>
      <c r="F614" s="3">
        <v>13358.98</v>
      </c>
      <c r="G614" s="3">
        <v>12330.343464133015</v>
      </c>
      <c r="H614" s="10">
        <v>1028.6365358669846</v>
      </c>
      <c r="I614" s="10">
        <f t="shared" si="42"/>
        <v>1028.6365358669846</v>
      </c>
      <c r="J614" s="10">
        <f t="shared" si="41"/>
        <v>1028.6365358669846</v>
      </c>
      <c r="K614">
        <v>30</v>
      </c>
      <c r="M614" t="str">
        <f>VLOOKUP(C614,Lookup!B:C,2,0)</f>
        <v>San Pablo</v>
      </c>
    </row>
    <row r="615" spans="2:13">
      <c r="B615" s="50">
        <f t="shared" si="40"/>
        <v>45991</v>
      </c>
      <c r="C615">
        <v>3104105</v>
      </c>
      <c r="D615">
        <v>2609481</v>
      </c>
      <c r="E615" s="3">
        <v>155260</v>
      </c>
      <c r="F615" s="3">
        <v>19682.88</v>
      </c>
      <c r="G615" s="3">
        <v>18168.300264133017</v>
      </c>
      <c r="H615" s="10">
        <v>1514.5797358669847</v>
      </c>
      <c r="I615" s="10">
        <f t="shared" si="42"/>
        <v>1514.5797358669847</v>
      </c>
      <c r="J615" s="10">
        <f t="shared" si="41"/>
        <v>1514.5797358669847</v>
      </c>
      <c r="K615">
        <v>30</v>
      </c>
      <c r="M615" t="str">
        <f>VLOOKUP(C615,Lookup!B:C,2,0)</f>
        <v>San Pablo</v>
      </c>
    </row>
    <row r="616" spans="2:13">
      <c r="B616" s="50">
        <f t="shared" si="40"/>
        <v>45991</v>
      </c>
      <c r="C616">
        <v>3104105</v>
      </c>
      <c r="D616">
        <v>2609482</v>
      </c>
      <c r="E616" s="3">
        <v>194389.5</v>
      </c>
      <c r="F616" s="3">
        <v>20233.2</v>
      </c>
      <c r="G616" s="3">
        <v>18662.640264133017</v>
      </c>
      <c r="H616" s="10">
        <v>1570.5597358669847</v>
      </c>
      <c r="I616" s="10">
        <f t="shared" si="42"/>
        <v>1570.5597358669847</v>
      </c>
      <c r="J616" s="10">
        <f t="shared" si="41"/>
        <v>1570.5597358669847</v>
      </c>
      <c r="K616">
        <v>30</v>
      </c>
      <c r="M616" t="str">
        <f>VLOOKUP(C616,Lookup!B:C,2,0)</f>
        <v>San Pablo</v>
      </c>
    </row>
    <row r="617" spans="2:13">
      <c r="B617" s="50">
        <f t="shared" si="40"/>
        <v>45991</v>
      </c>
      <c r="C617">
        <v>3104105</v>
      </c>
      <c r="D617">
        <v>2609483</v>
      </c>
      <c r="E617" s="3">
        <v>199467</v>
      </c>
      <c r="F617" s="3">
        <v>5415.2300000000096</v>
      </c>
      <c r="G617" s="3">
        <v>5024.995864133025</v>
      </c>
      <c r="H617" s="10">
        <v>390.23413586698462</v>
      </c>
      <c r="I617" s="10">
        <f t="shared" si="42"/>
        <v>390.23413586698462</v>
      </c>
      <c r="J617" s="10">
        <f t="shared" si="41"/>
        <v>390.23413586698462</v>
      </c>
      <c r="K617">
        <v>30</v>
      </c>
      <c r="M617" t="str">
        <f>VLOOKUP(C617,Lookup!B:C,2,0)</f>
        <v>San Pablo</v>
      </c>
    </row>
    <row r="618" spans="2:13">
      <c r="B618" s="50">
        <f t="shared" si="40"/>
        <v>45991</v>
      </c>
      <c r="C618">
        <v>3104105</v>
      </c>
      <c r="D618">
        <v>2609484</v>
      </c>
      <c r="E618" s="3">
        <v>172743.6</v>
      </c>
      <c r="F618" s="3">
        <v>16933.55</v>
      </c>
      <c r="G618" s="3">
        <v>15711.142264133014</v>
      </c>
      <c r="H618" s="10">
        <v>1222.4077358669847</v>
      </c>
      <c r="I618" s="10">
        <f t="shared" si="42"/>
        <v>1222.4077358669847</v>
      </c>
      <c r="J618" s="10">
        <f t="shared" si="41"/>
        <v>1222.4077358669847</v>
      </c>
      <c r="K618">
        <v>30</v>
      </c>
      <c r="M618" t="str">
        <f>VLOOKUP(C618,Lookup!B:C,2,0)</f>
        <v>San Pablo</v>
      </c>
    </row>
    <row r="619" spans="2:13">
      <c r="B619" s="50">
        <f t="shared" si="40"/>
        <v>45991</v>
      </c>
      <c r="C619">
        <v>3104105</v>
      </c>
      <c r="D619">
        <v>2609485</v>
      </c>
      <c r="E619" s="3">
        <v>184544</v>
      </c>
      <c r="F619" s="3">
        <v>18715.12</v>
      </c>
      <c r="G619" s="3">
        <v>17271.934664133016</v>
      </c>
      <c r="H619" s="10">
        <v>1443.1853358669846</v>
      </c>
      <c r="I619" s="10">
        <f t="shared" si="42"/>
        <v>1443.1853358669846</v>
      </c>
      <c r="J619" s="10">
        <f t="shared" si="41"/>
        <v>1443.1853358669846</v>
      </c>
      <c r="K619">
        <v>30</v>
      </c>
      <c r="M619" t="str">
        <f>VLOOKUP(C619,Lookup!B:C,2,0)</f>
        <v>San Pablo</v>
      </c>
    </row>
    <row r="620" spans="2:13">
      <c r="B620" s="50">
        <f t="shared" si="40"/>
        <v>45991</v>
      </c>
      <c r="C620">
        <v>3104105</v>
      </c>
      <c r="D620">
        <v>2609486</v>
      </c>
      <c r="E620" s="3">
        <v>261611.5</v>
      </c>
      <c r="F620" s="3">
        <v>27172.1</v>
      </c>
      <c r="G620" s="3">
        <v>25150.185064133013</v>
      </c>
      <c r="H620" s="10">
        <v>2021.9149358669847</v>
      </c>
      <c r="I620" s="10">
        <f t="shared" si="42"/>
        <v>2021.9149358669847</v>
      </c>
      <c r="J620" s="10">
        <f t="shared" si="41"/>
        <v>2021.9149358669847</v>
      </c>
      <c r="K620">
        <v>30</v>
      </c>
      <c r="M620" t="str">
        <f>VLOOKUP(C620,Lookup!B:C,2,0)</f>
        <v>San Pablo</v>
      </c>
    </row>
    <row r="621" spans="2:13">
      <c r="B621" s="50">
        <f t="shared" si="40"/>
        <v>45991</v>
      </c>
      <c r="C621">
        <v>3104105</v>
      </c>
      <c r="D621">
        <v>2609487</v>
      </c>
      <c r="E621" s="3">
        <v>268122.5</v>
      </c>
      <c r="F621" s="3">
        <v>27797.31</v>
      </c>
      <c r="G621" s="3">
        <v>25566.736664133015</v>
      </c>
      <c r="H621" s="10">
        <v>2230.5733358669845</v>
      </c>
      <c r="I621" s="10">
        <f t="shared" si="42"/>
        <v>2230.5733358669845</v>
      </c>
      <c r="J621" s="10">
        <f t="shared" si="41"/>
        <v>2230.5733358669845</v>
      </c>
      <c r="K621">
        <v>30</v>
      </c>
      <c r="M621" t="str">
        <f>VLOOKUP(C621,Lookup!B:C,2,0)</f>
        <v>San Pablo</v>
      </c>
    </row>
    <row r="622" spans="2:13">
      <c r="B622" s="50">
        <f t="shared" si="40"/>
        <v>45991</v>
      </c>
      <c r="C622">
        <v>3104105</v>
      </c>
      <c r="D622">
        <v>2609488</v>
      </c>
      <c r="E622" s="3">
        <v>131873.75</v>
      </c>
      <c r="F622" s="3">
        <v>11852.21</v>
      </c>
      <c r="G622" s="3">
        <v>10811.143864133015</v>
      </c>
      <c r="H622" s="10">
        <v>1041.0661358669847</v>
      </c>
      <c r="I622" s="10">
        <f t="shared" si="42"/>
        <v>1041.0661358669847</v>
      </c>
      <c r="J622" s="10">
        <f t="shared" si="41"/>
        <v>1041.0661358669847</v>
      </c>
      <c r="K622">
        <v>30</v>
      </c>
      <c r="M622" t="str">
        <f>VLOOKUP(C622,Lookup!B:C,2,0)</f>
        <v>San Pablo</v>
      </c>
    </row>
    <row r="623" spans="2:13">
      <c r="B623" s="50">
        <f t="shared" si="40"/>
        <v>45991</v>
      </c>
      <c r="C623">
        <v>3104105</v>
      </c>
      <c r="D623">
        <v>2609489</v>
      </c>
      <c r="E623" s="3">
        <v>115308.75</v>
      </c>
      <c r="F623" s="3">
        <v>10337.93</v>
      </c>
      <c r="G623" s="3">
        <v>9547.9502641330164</v>
      </c>
      <c r="H623" s="10">
        <v>789.9797358669847</v>
      </c>
      <c r="I623" s="10">
        <f t="shared" si="42"/>
        <v>789.9797358669847</v>
      </c>
      <c r="J623" s="10">
        <f t="shared" si="41"/>
        <v>789.9797358669847</v>
      </c>
      <c r="K623">
        <v>30</v>
      </c>
      <c r="M623" t="str">
        <f>VLOOKUP(C623,Lookup!B:C,2,0)</f>
        <v>San Pablo</v>
      </c>
    </row>
    <row r="624" spans="2:13">
      <c r="B624" s="50">
        <f t="shared" si="40"/>
        <v>45991</v>
      </c>
      <c r="C624">
        <v>3104105</v>
      </c>
      <c r="D624">
        <v>2609490</v>
      </c>
      <c r="E624" s="3">
        <v>138750.25</v>
      </c>
      <c r="F624" s="3">
        <v>17405.419999999998</v>
      </c>
      <c r="G624" s="3">
        <v>16043.174664133014</v>
      </c>
      <c r="H624" s="10">
        <v>1362.2453358669845</v>
      </c>
      <c r="I624" s="10">
        <f t="shared" si="42"/>
        <v>1362.2453358669845</v>
      </c>
      <c r="J624" s="10">
        <f t="shared" si="41"/>
        <v>1362.2453358669845</v>
      </c>
      <c r="K624">
        <v>30</v>
      </c>
      <c r="M624" t="str">
        <f>VLOOKUP(C624,Lookup!B:C,2,0)</f>
        <v>San Pablo</v>
      </c>
    </row>
    <row r="625" spans="2:13">
      <c r="B625" s="50">
        <f t="shared" si="40"/>
        <v>45991</v>
      </c>
      <c r="C625">
        <v>3104105</v>
      </c>
      <c r="D625">
        <v>2609491</v>
      </c>
      <c r="E625" s="3">
        <v>196474.8</v>
      </c>
      <c r="F625" s="3">
        <v>15544.09</v>
      </c>
      <c r="G625" s="3">
        <v>14220.135864133015</v>
      </c>
      <c r="H625" s="10">
        <v>1323.9541358669846</v>
      </c>
      <c r="I625" s="10">
        <f t="shared" si="42"/>
        <v>1323.9541358669846</v>
      </c>
      <c r="J625" s="10">
        <f t="shared" si="41"/>
        <v>1323.9541358669846</v>
      </c>
      <c r="K625">
        <v>30</v>
      </c>
      <c r="M625" t="str">
        <f>VLOOKUP(C625,Lookup!B:C,2,0)</f>
        <v>San Pablo</v>
      </c>
    </row>
    <row r="626" spans="2:13">
      <c r="B626" s="50">
        <f t="shared" si="40"/>
        <v>45991</v>
      </c>
      <c r="C626">
        <v>3104105</v>
      </c>
      <c r="D626">
        <v>2609492</v>
      </c>
      <c r="E626" s="3">
        <v>185941.6</v>
      </c>
      <c r="F626" s="3">
        <v>20325.87</v>
      </c>
      <c r="G626" s="3">
        <v>18753.521464133013</v>
      </c>
      <c r="H626" s="10">
        <v>1572.3485358669848</v>
      </c>
      <c r="I626" s="10">
        <f t="shared" si="42"/>
        <v>1572.3485358669848</v>
      </c>
      <c r="J626" s="10">
        <f t="shared" si="41"/>
        <v>1572.3485358669848</v>
      </c>
      <c r="K626">
        <v>30</v>
      </c>
      <c r="M626" t="str">
        <f>VLOOKUP(C626,Lookup!B:C,2,0)</f>
        <v>San Pablo</v>
      </c>
    </row>
    <row r="627" spans="2:13">
      <c r="B627" s="50">
        <f t="shared" si="40"/>
        <v>45991</v>
      </c>
      <c r="C627">
        <v>3104105</v>
      </c>
      <c r="D627">
        <v>2609493</v>
      </c>
      <c r="E627" s="3">
        <v>213083.5</v>
      </c>
      <c r="F627" s="3">
        <v>11725.46</v>
      </c>
      <c r="G627" s="3">
        <v>10783.706664133015</v>
      </c>
      <c r="H627" s="10">
        <v>941.75333586698468</v>
      </c>
      <c r="I627" s="10">
        <f t="shared" si="42"/>
        <v>941.75333586698468</v>
      </c>
      <c r="J627" s="10">
        <f t="shared" si="41"/>
        <v>941.75333586698468</v>
      </c>
      <c r="K627">
        <v>30</v>
      </c>
      <c r="M627" t="str">
        <f>VLOOKUP(C627,Lookup!B:C,2,0)</f>
        <v>San Pablo</v>
      </c>
    </row>
    <row r="628" spans="2:13">
      <c r="B628" s="50">
        <f t="shared" si="40"/>
        <v>45991</v>
      </c>
      <c r="C628">
        <v>3104105</v>
      </c>
      <c r="D628">
        <v>2610455</v>
      </c>
      <c r="E628" s="3">
        <v>583521</v>
      </c>
      <c r="F628" s="3">
        <v>24056.53</v>
      </c>
      <c r="G628" s="3">
        <v>22213.864664133012</v>
      </c>
      <c r="H628" s="10">
        <v>1842.6653358669846</v>
      </c>
      <c r="I628" s="10">
        <f t="shared" si="42"/>
        <v>1842.6653358669846</v>
      </c>
      <c r="J628" s="10">
        <f t="shared" si="41"/>
        <v>1842.6653358669846</v>
      </c>
      <c r="K628">
        <v>30</v>
      </c>
      <c r="M628" t="str">
        <f>VLOOKUP(C628,Lookup!B:C,2,0)</f>
        <v>San Pablo</v>
      </c>
    </row>
    <row r="629" spans="2:13">
      <c r="B629" s="50">
        <f t="shared" si="40"/>
        <v>45991</v>
      </c>
      <c r="C629">
        <v>3104105</v>
      </c>
      <c r="D629">
        <v>2610456</v>
      </c>
      <c r="E629" s="3">
        <v>512948</v>
      </c>
      <c r="F629" s="3">
        <v>21768.71</v>
      </c>
      <c r="G629" s="3">
        <v>20136.364664133016</v>
      </c>
      <c r="H629" s="10">
        <v>1632.3453358669847</v>
      </c>
      <c r="I629" s="10">
        <f t="shared" si="42"/>
        <v>1632.3453358669847</v>
      </c>
      <c r="J629" s="10">
        <f t="shared" si="41"/>
        <v>1632.3453358669847</v>
      </c>
      <c r="K629">
        <v>30</v>
      </c>
      <c r="M629" t="str">
        <f>VLOOKUP(C629,Lookup!B:C,2,0)</f>
        <v>San Pablo</v>
      </c>
    </row>
    <row r="630" spans="2:13">
      <c r="B630" s="50">
        <f t="shared" si="40"/>
        <v>45991</v>
      </c>
      <c r="C630">
        <v>3104105</v>
      </c>
      <c r="D630">
        <v>2610457</v>
      </c>
      <c r="E630" s="3">
        <v>604418</v>
      </c>
      <c r="F630" s="3">
        <v>36349.4</v>
      </c>
      <c r="G630" s="3">
        <v>33529.302664133014</v>
      </c>
      <c r="H630" s="10">
        <v>2820.0973358669848</v>
      </c>
      <c r="I630" s="10">
        <f t="shared" si="42"/>
        <v>2820.0973358669848</v>
      </c>
      <c r="J630" s="10">
        <f t="shared" si="41"/>
        <v>2820.0973358669848</v>
      </c>
      <c r="K630">
        <v>30</v>
      </c>
      <c r="M630" t="str">
        <f>VLOOKUP(C630,Lookup!B:C,2,0)</f>
        <v>San Pablo</v>
      </c>
    </row>
    <row r="631" spans="2:13">
      <c r="B631" s="50">
        <f t="shared" si="40"/>
        <v>45991</v>
      </c>
      <c r="C631">
        <v>3104105</v>
      </c>
      <c r="D631">
        <v>2610458</v>
      </c>
      <c r="E631" s="3">
        <v>349343</v>
      </c>
      <c r="F631" s="3">
        <v>21442</v>
      </c>
      <c r="G631" s="3">
        <v>19789.974664133017</v>
      </c>
      <c r="H631" s="10">
        <v>1652.0253358669847</v>
      </c>
      <c r="I631" s="10">
        <f t="shared" si="42"/>
        <v>1652.0253358669847</v>
      </c>
      <c r="J631" s="10">
        <f t="shared" si="41"/>
        <v>1652.0253358669847</v>
      </c>
      <c r="K631">
        <v>30</v>
      </c>
      <c r="M631" t="str">
        <f>VLOOKUP(C631,Lookup!B:C,2,0)</f>
        <v>San Pablo</v>
      </c>
    </row>
    <row r="632" spans="2:13">
      <c r="B632" s="50">
        <f t="shared" si="40"/>
        <v>45991</v>
      </c>
      <c r="C632">
        <v>3104105</v>
      </c>
      <c r="D632">
        <v>2610459</v>
      </c>
      <c r="E632" s="3">
        <v>289913</v>
      </c>
      <c r="F632" s="3">
        <v>30884.79</v>
      </c>
      <c r="G632" s="3">
        <v>28478.204664133016</v>
      </c>
      <c r="H632" s="10">
        <v>2406.5853358669847</v>
      </c>
      <c r="I632" s="10">
        <f t="shared" si="42"/>
        <v>2406.5853358669847</v>
      </c>
      <c r="J632" s="10">
        <f t="shared" si="41"/>
        <v>2406.5853358669847</v>
      </c>
      <c r="K632">
        <v>30</v>
      </c>
      <c r="M632" t="str">
        <f>VLOOKUP(C632,Lookup!B:C,2,0)</f>
        <v>San Pablo</v>
      </c>
    </row>
    <row r="633" spans="2:13">
      <c r="B633" s="50">
        <f t="shared" si="40"/>
        <v>45991</v>
      </c>
      <c r="C633">
        <v>3104105</v>
      </c>
      <c r="D633">
        <v>2610460</v>
      </c>
      <c r="E633" s="3">
        <v>260499</v>
      </c>
      <c r="F633" s="3">
        <v>416</v>
      </c>
      <c r="G633" s="3">
        <v>444.13466413301541</v>
      </c>
      <c r="H633" s="10">
        <v>-28.134664133015409</v>
      </c>
      <c r="I633" s="10">
        <f t="shared" si="42"/>
        <v>-28.134664133015409</v>
      </c>
      <c r="J633" s="10">
        <f t="shared" si="41"/>
        <v>-28.134664133015409</v>
      </c>
      <c r="K633">
        <v>30</v>
      </c>
      <c r="M633" t="str">
        <f>VLOOKUP(C633,Lookup!B:C,2,0)</f>
        <v>San Pablo</v>
      </c>
    </row>
    <row r="634" spans="2:13">
      <c r="B634" s="50">
        <f t="shared" ref="B634:B697" si="43">B633</f>
        <v>45991</v>
      </c>
      <c r="C634">
        <v>3104105</v>
      </c>
      <c r="D634">
        <v>2610461</v>
      </c>
      <c r="E634" s="3">
        <v>489044</v>
      </c>
      <c r="F634" s="3">
        <v>23958.97</v>
      </c>
      <c r="G634" s="3">
        <v>22150.304664133015</v>
      </c>
      <c r="H634" s="10">
        <v>1808.6653358669846</v>
      </c>
      <c r="I634" s="10">
        <f t="shared" si="42"/>
        <v>1808.6653358669846</v>
      </c>
      <c r="J634" s="10">
        <f t="shared" si="41"/>
        <v>1808.6653358669846</v>
      </c>
      <c r="K634">
        <v>30</v>
      </c>
      <c r="M634" t="str">
        <f>VLOOKUP(C634,Lookup!B:C,2,0)</f>
        <v>San Pablo</v>
      </c>
    </row>
    <row r="635" spans="2:13">
      <c r="B635" s="50">
        <f t="shared" si="43"/>
        <v>45991</v>
      </c>
      <c r="C635">
        <v>3104105</v>
      </c>
      <c r="D635">
        <v>2610462</v>
      </c>
      <c r="E635" s="3">
        <v>258779</v>
      </c>
      <c r="F635" s="3">
        <v>-14027</v>
      </c>
      <c r="G635" s="3">
        <v>-12843.345335866985</v>
      </c>
      <c r="H635" s="10">
        <v>-1183.6546641330153</v>
      </c>
      <c r="I635" s="10">
        <f t="shared" si="42"/>
        <v>-1183.6546641330153</v>
      </c>
      <c r="J635" s="10">
        <f t="shared" si="41"/>
        <v>-1183.6546641330153</v>
      </c>
      <c r="K635">
        <v>30</v>
      </c>
      <c r="M635" t="str">
        <f>VLOOKUP(C635,Lookup!B:C,2,0)</f>
        <v>San Pablo</v>
      </c>
    </row>
    <row r="636" spans="2:13">
      <c r="B636" s="50">
        <f t="shared" si="43"/>
        <v>45991</v>
      </c>
      <c r="C636">
        <v>3104105</v>
      </c>
      <c r="D636">
        <v>2611244</v>
      </c>
      <c r="E636" s="3">
        <v>138519</v>
      </c>
      <c r="F636" s="3">
        <v>1909.09</v>
      </c>
      <c r="G636" s="3">
        <v>1821.4574641330153</v>
      </c>
      <c r="H636" s="10">
        <v>87.632535866984583</v>
      </c>
      <c r="I636" s="10">
        <f t="shared" si="42"/>
        <v>87.632535866984583</v>
      </c>
      <c r="J636" s="10">
        <f t="shared" si="41"/>
        <v>87.632535866984583</v>
      </c>
      <c r="K636">
        <v>30</v>
      </c>
      <c r="M636" t="str">
        <f>VLOOKUP(C636,Lookup!B:C,2,0)</f>
        <v>San Pablo</v>
      </c>
    </row>
    <row r="637" spans="2:13">
      <c r="B637" s="50">
        <f t="shared" si="43"/>
        <v>45991</v>
      </c>
      <c r="C637">
        <v>3104105</v>
      </c>
      <c r="D637">
        <v>2611245</v>
      </c>
      <c r="E637" s="3">
        <v>195117</v>
      </c>
      <c r="F637" s="3">
        <v>15425.18</v>
      </c>
      <c r="G637" s="3">
        <v>14251.380264133015</v>
      </c>
      <c r="H637" s="10">
        <v>1173.7997358669847</v>
      </c>
      <c r="I637" s="10">
        <f t="shared" si="42"/>
        <v>1173.7997358669847</v>
      </c>
      <c r="J637" s="10">
        <f t="shared" si="41"/>
        <v>1173.7997358669847</v>
      </c>
      <c r="K637">
        <v>30</v>
      </c>
      <c r="M637" t="str">
        <f>VLOOKUP(C637,Lookup!B:C,2,0)</f>
        <v>San Pablo</v>
      </c>
    </row>
    <row r="638" spans="2:13">
      <c r="B638" s="50">
        <f t="shared" si="43"/>
        <v>45991</v>
      </c>
      <c r="C638">
        <v>3104105</v>
      </c>
      <c r="D638">
        <v>2611246</v>
      </c>
      <c r="E638" s="3">
        <v>156048</v>
      </c>
      <c r="F638" s="3">
        <v>13828.96</v>
      </c>
      <c r="G638" s="3">
        <v>12777.977864133014</v>
      </c>
      <c r="H638" s="10">
        <v>1050.9821358669847</v>
      </c>
      <c r="I638" s="10">
        <f t="shared" si="42"/>
        <v>1050.9821358669847</v>
      </c>
      <c r="J638" s="10">
        <f t="shared" si="41"/>
        <v>1050.9821358669847</v>
      </c>
      <c r="K638">
        <v>30</v>
      </c>
      <c r="M638" t="str">
        <f>VLOOKUP(C638,Lookup!B:C,2,0)</f>
        <v>San Pablo</v>
      </c>
    </row>
    <row r="639" spans="2:13">
      <c r="B639" s="50">
        <f t="shared" si="43"/>
        <v>45991</v>
      </c>
      <c r="C639">
        <v>3104105</v>
      </c>
      <c r="D639">
        <v>2611247</v>
      </c>
      <c r="E639" s="3">
        <v>117415</v>
      </c>
      <c r="F639" s="3">
        <v>-776.07999999998697</v>
      </c>
      <c r="G639" s="3">
        <v>-658.65893586697155</v>
      </c>
      <c r="H639" s="10">
        <v>-117.42106413301542</v>
      </c>
      <c r="I639" s="10">
        <f t="shared" si="42"/>
        <v>-117.42106413301542</v>
      </c>
      <c r="J639" s="10">
        <f t="shared" si="41"/>
        <v>-117.42106413301542</v>
      </c>
      <c r="K639">
        <v>30</v>
      </c>
      <c r="M639" t="str">
        <f>VLOOKUP(C639,Lookup!B:C,2,0)</f>
        <v>San Pablo</v>
      </c>
    </row>
    <row r="640" spans="2:13">
      <c r="B640" s="50">
        <f t="shared" si="43"/>
        <v>45991</v>
      </c>
      <c r="C640">
        <v>3104105</v>
      </c>
      <c r="D640">
        <v>2611248</v>
      </c>
      <c r="E640" s="3">
        <v>260655</v>
      </c>
      <c r="F640" s="3">
        <v>20065.11</v>
      </c>
      <c r="G640" s="3">
        <v>18548.664664133015</v>
      </c>
      <c r="H640" s="10">
        <v>1516.4453358669846</v>
      </c>
      <c r="I640" s="10">
        <f t="shared" si="42"/>
        <v>1516.4453358669846</v>
      </c>
      <c r="J640" s="10">
        <f t="shared" si="41"/>
        <v>1516.4453358669846</v>
      </c>
      <c r="K640">
        <v>30</v>
      </c>
      <c r="M640" t="str">
        <f>VLOOKUP(C640,Lookup!B:C,2,0)</f>
        <v>San Pablo</v>
      </c>
    </row>
    <row r="641" spans="2:13">
      <c r="B641" s="50">
        <f t="shared" si="43"/>
        <v>45991</v>
      </c>
      <c r="C641">
        <v>3104105</v>
      </c>
      <c r="D641">
        <v>2611249</v>
      </c>
      <c r="E641" s="3">
        <v>237615</v>
      </c>
      <c r="F641" s="3">
        <v>20695</v>
      </c>
      <c r="G641" s="3">
        <v>19094.734664133015</v>
      </c>
      <c r="H641" s="10">
        <v>1600.2653358669847</v>
      </c>
      <c r="I641" s="10">
        <f t="shared" si="42"/>
        <v>1600.2653358669847</v>
      </c>
      <c r="J641" s="10">
        <f t="shared" si="41"/>
        <v>1600.2653358669847</v>
      </c>
      <c r="K641">
        <v>30</v>
      </c>
      <c r="M641" t="str">
        <f>VLOOKUP(C641,Lookup!B:C,2,0)</f>
        <v>San Pablo</v>
      </c>
    </row>
    <row r="642" spans="2:13">
      <c r="B642" s="50">
        <f t="shared" si="43"/>
        <v>45991</v>
      </c>
      <c r="C642">
        <v>3104105</v>
      </c>
      <c r="D642">
        <v>2611250</v>
      </c>
      <c r="E642" s="3">
        <v>253880</v>
      </c>
      <c r="F642" s="3">
        <v>9223</v>
      </c>
      <c r="G642" s="3">
        <v>8540.4946641330152</v>
      </c>
      <c r="H642" s="10">
        <v>682.50533586698464</v>
      </c>
      <c r="I642" s="10">
        <f t="shared" si="42"/>
        <v>682.50533586698464</v>
      </c>
      <c r="J642" s="10">
        <f t="shared" ref="J642:J705" si="44">I642</f>
        <v>682.50533586698464</v>
      </c>
      <c r="K642">
        <v>30</v>
      </c>
      <c r="M642" t="str">
        <f>VLOOKUP(C642,Lookup!B:C,2,0)</f>
        <v>San Pablo</v>
      </c>
    </row>
    <row r="643" spans="2:13">
      <c r="B643" s="50">
        <f t="shared" si="43"/>
        <v>45991</v>
      </c>
      <c r="C643">
        <v>3104105</v>
      </c>
      <c r="D643">
        <v>2611251</v>
      </c>
      <c r="E643" s="3">
        <v>309693</v>
      </c>
      <c r="F643" s="3">
        <v>614.41000000000304</v>
      </c>
      <c r="G643" s="3">
        <v>629.01106413301841</v>
      </c>
      <c r="H643" s="10">
        <v>-14.601064133015406</v>
      </c>
      <c r="I643" s="10">
        <f t="shared" si="42"/>
        <v>-14.601064133015406</v>
      </c>
      <c r="J643" s="10">
        <f t="shared" si="44"/>
        <v>-14.601064133015406</v>
      </c>
      <c r="K643">
        <v>30</v>
      </c>
      <c r="M643" t="str">
        <f>VLOOKUP(C643,Lookup!B:C,2,0)</f>
        <v>San Pablo</v>
      </c>
    </row>
    <row r="644" spans="2:13">
      <c r="B644" s="50">
        <f t="shared" si="43"/>
        <v>45991</v>
      </c>
      <c r="C644">
        <v>3104105</v>
      </c>
      <c r="D644">
        <v>2612139</v>
      </c>
      <c r="E644" s="3">
        <v>608011</v>
      </c>
      <c r="F644" s="3">
        <v>26629.17</v>
      </c>
      <c r="G644" s="3">
        <v>24497.064664133013</v>
      </c>
      <c r="H644" s="10">
        <v>2132.1053358669847</v>
      </c>
      <c r="I644" s="10">
        <f t="shared" ref="I644:I707" si="45">H644</f>
        <v>2132.1053358669847</v>
      </c>
      <c r="J644" s="10">
        <f t="shared" si="44"/>
        <v>2132.1053358669847</v>
      </c>
      <c r="K644">
        <v>30</v>
      </c>
      <c r="M644" t="str">
        <f>VLOOKUP(C644,Lookup!B:C,2,0)</f>
        <v>San Pablo</v>
      </c>
    </row>
    <row r="645" spans="2:13">
      <c r="B645" s="50">
        <f t="shared" si="43"/>
        <v>45991</v>
      </c>
      <c r="C645">
        <v>3104105</v>
      </c>
      <c r="D645">
        <v>2612140</v>
      </c>
      <c r="E645" s="3">
        <v>272735.25</v>
      </c>
      <c r="F645" s="3">
        <v>22387.5</v>
      </c>
      <c r="G645" s="3">
        <v>20635.214664133015</v>
      </c>
      <c r="H645" s="10">
        <v>1752.2853358669847</v>
      </c>
      <c r="I645" s="10">
        <f t="shared" si="45"/>
        <v>1752.2853358669847</v>
      </c>
      <c r="J645" s="10">
        <f t="shared" si="44"/>
        <v>1752.2853358669847</v>
      </c>
      <c r="K645">
        <v>30</v>
      </c>
      <c r="M645" t="str">
        <f>VLOOKUP(C645,Lookup!B:C,2,0)</f>
        <v>San Pablo</v>
      </c>
    </row>
    <row r="646" spans="2:13">
      <c r="B646" s="50">
        <f t="shared" si="43"/>
        <v>45991</v>
      </c>
      <c r="C646">
        <v>3104105</v>
      </c>
      <c r="D646">
        <v>2612141</v>
      </c>
      <c r="E646" s="3">
        <v>391196.75</v>
      </c>
      <c r="F646" s="3">
        <v>26398.799999999999</v>
      </c>
      <c r="G646" s="3">
        <v>24300.914664133015</v>
      </c>
      <c r="H646" s="10">
        <v>2097.8853358669849</v>
      </c>
      <c r="I646" s="10">
        <f t="shared" si="45"/>
        <v>2097.8853358669849</v>
      </c>
      <c r="J646" s="10">
        <f t="shared" si="44"/>
        <v>2097.8853358669849</v>
      </c>
      <c r="K646">
        <v>30</v>
      </c>
      <c r="M646" t="str">
        <f>VLOOKUP(C646,Lookup!B:C,2,0)</f>
        <v>San Pablo</v>
      </c>
    </row>
    <row r="647" spans="2:13">
      <c r="B647" s="50">
        <f t="shared" si="43"/>
        <v>45991</v>
      </c>
      <c r="C647">
        <v>3104105</v>
      </c>
      <c r="D647">
        <v>2615891</v>
      </c>
      <c r="E647" s="3">
        <v>327044.59999999998</v>
      </c>
      <c r="F647" s="3">
        <v>26362.09</v>
      </c>
      <c r="G647" s="3">
        <v>24501.873464133016</v>
      </c>
      <c r="H647" s="10">
        <v>1860.2165358669845</v>
      </c>
      <c r="I647" s="10">
        <f t="shared" si="45"/>
        <v>1860.2165358669845</v>
      </c>
      <c r="J647" s="10">
        <f t="shared" si="44"/>
        <v>1860.2165358669845</v>
      </c>
      <c r="K647">
        <v>30</v>
      </c>
      <c r="M647" t="str">
        <f>VLOOKUP(C647,Lookup!B:C,2,0)</f>
        <v>San Pablo</v>
      </c>
    </row>
    <row r="648" spans="2:13">
      <c r="B648" s="50">
        <f t="shared" si="43"/>
        <v>45991</v>
      </c>
      <c r="C648">
        <v>3104105</v>
      </c>
      <c r="D648">
        <v>2615892</v>
      </c>
      <c r="E648" s="3">
        <v>403948.79999999999</v>
      </c>
      <c r="F648" s="3">
        <v>32872.46</v>
      </c>
      <c r="G648" s="3">
        <v>30203.129864133014</v>
      </c>
      <c r="H648" s="10">
        <v>2669.3301358669846</v>
      </c>
      <c r="I648" s="10">
        <f t="shared" si="45"/>
        <v>2669.3301358669846</v>
      </c>
      <c r="J648" s="10">
        <f t="shared" si="44"/>
        <v>2669.3301358669846</v>
      </c>
      <c r="K648">
        <v>30</v>
      </c>
      <c r="M648" t="str">
        <f>VLOOKUP(C648,Lookup!B:C,2,0)</f>
        <v>San Pablo</v>
      </c>
    </row>
    <row r="649" spans="2:13">
      <c r="B649" s="50">
        <f t="shared" si="43"/>
        <v>45991</v>
      </c>
      <c r="C649">
        <v>3104105</v>
      </c>
      <c r="D649">
        <v>2615893</v>
      </c>
      <c r="E649" s="3">
        <v>345230</v>
      </c>
      <c r="F649" s="3">
        <v>34522.910000000003</v>
      </c>
      <c r="G649" s="3">
        <v>31754.951864133018</v>
      </c>
      <c r="H649" s="10">
        <v>2767.9581358669848</v>
      </c>
      <c r="I649" s="10">
        <f t="shared" si="45"/>
        <v>2767.9581358669848</v>
      </c>
      <c r="J649" s="10">
        <f t="shared" si="44"/>
        <v>2767.9581358669848</v>
      </c>
      <c r="K649">
        <v>30</v>
      </c>
      <c r="M649" t="str">
        <f>VLOOKUP(C649,Lookup!B:C,2,0)</f>
        <v>San Pablo</v>
      </c>
    </row>
    <row r="650" spans="2:13">
      <c r="B650" s="50">
        <f t="shared" si="43"/>
        <v>45991</v>
      </c>
      <c r="C650">
        <v>3104105</v>
      </c>
      <c r="D650">
        <v>2615894</v>
      </c>
      <c r="E650" s="3">
        <v>482879.6</v>
      </c>
      <c r="F650" s="3">
        <v>41997.31</v>
      </c>
      <c r="G650" s="3">
        <v>38675.380664133016</v>
      </c>
      <c r="H650" s="10">
        <v>3321.9293358669847</v>
      </c>
      <c r="I650" s="10">
        <f t="shared" si="45"/>
        <v>3321.9293358669847</v>
      </c>
      <c r="J650" s="10">
        <f t="shared" si="44"/>
        <v>3321.9293358669847</v>
      </c>
      <c r="K650">
        <v>30</v>
      </c>
      <c r="M650" t="str">
        <f>VLOOKUP(C650,Lookup!B:C,2,0)</f>
        <v>San Pablo</v>
      </c>
    </row>
    <row r="651" spans="2:13">
      <c r="B651" s="50">
        <f t="shared" si="43"/>
        <v>45991</v>
      </c>
      <c r="C651">
        <v>3104105</v>
      </c>
      <c r="D651">
        <v>2615895</v>
      </c>
      <c r="E651" s="3">
        <v>462503.4</v>
      </c>
      <c r="F651" s="3">
        <v>48030.3</v>
      </c>
      <c r="G651" s="3">
        <v>44266.083464133015</v>
      </c>
      <c r="H651" s="10">
        <v>3764.2165358669845</v>
      </c>
      <c r="I651" s="10">
        <f t="shared" si="45"/>
        <v>3764.2165358669845</v>
      </c>
      <c r="J651" s="10">
        <f t="shared" si="44"/>
        <v>3764.2165358669845</v>
      </c>
      <c r="K651">
        <v>30</v>
      </c>
      <c r="M651" t="str">
        <f>VLOOKUP(C651,Lookup!B:C,2,0)</f>
        <v>San Pablo</v>
      </c>
    </row>
    <row r="652" spans="2:13">
      <c r="B652" s="50">
        <f t="shared" si="43"/>
        <v>45991</v>
      </c>
      <c r="C652">
        <v>3104105</v>
      </c>
      <c r="D652">
        <v>2615896</v>
      </c>
      <c r="E652" s="3">
        <v>292086.40000000002</v>
      </c>
      <c r="F652" s="3">
        <v>30208.45</v>
      </c>
      <c r="G652" s="3">
        <v>27903.420664133017</v>
      </c>
      <c r="H652" s="10">
        <v>2305.0293358669846</v>
      </c>
      <c r="I652" s="10">
        <f t="shared" si="45"/>
        <v>2305.0293358669846</v>
      </c>
      <c r="J652" s="10">
        <f t="shared" si="44"/>
        <v>2305.0293358669846</v>
      </c>
      <c r="K652">
        <v>30</v>
      </c>
      <c r="M652" t="str">
        <f>VLOOKUP(C652,Lookup!B:C,2,0)</f>
        <v>San Pablo</v>
      </c>
    </row>
    <row r="653" spans="2:13">
      <c r="B653" s="50">
        <f t="shared" si="43"/>
        <v>45991</v>
      </c>
      <c r="C653">
        <v>3104105</v>
      </c>
      <c r="D653">
        <v>2623744</v>
      </c>
      <c r="E653" s="3">
        <v>332855.40000000002</v>
      </c>
      <c r="F653" s="3">
        <v>34977.449999999997</v>
      </c>
      <c r="G653" s="3">
        <v>32292.495064133014</v>
      </c>
      <c r="H653" s="10">
        <v>2684.9549358669847</v>
      </c>
      <c r="I653" s="10">
        <f t="shared" si="45"/>
        <v>2684.9549358669847</v>
      </c>
      <c r="J653" s="10">
        <f t="shared" si="44"/>
        <v>2684.9549358669847</v>
      </c>
      <c r="K653">
        <v>30</v>
      </c>
      <c r="M653" t="str">
        <f>VLOOKUP(C653,Lookup!B:C,2,0)</f>
        <v>San Pablo</v>
      </c>
    </row>
    <row r="654" spans="2:13">
      <c r="B654" s="50">
        <f t="shared" si="43"/>
        <v>45991</v>
      </c>
      <c r="C654">
        <v>3104105</v>
      </c>
      <c r="D654">
        <v>2623745</v>
      </c>
      <c r="E654" s="3">
        <v>273661.59999999998</v>
      </c>
      <c r="F654" s="3">
        <v>25749.47</v>
      </c>
      <c r="G654" s="3">
        <v>23777.463864133017</v>
      </c>
      <c r="H654" s="10">
        <v>1972.0061358669846</v>
      </c>
      <c r="I654" s="10">
        <f t="shared" si="45"/>
        <v>1972.0061358669846</v>
      </c>
      <c r="J654" s="10">
        <f t="shared" si="44"/>
        <v>1972.0061358669846</v>
      </c>
      <c r="K654">
        <v>30</v>
      </c>
      <c r="M654" t="str">
        <f>VLOOKUP(C654,Lookup!B:C,2,0)</f>
        <v>San Pablo</v>
      </c>
    </row>
    <row r="655" spans="2:13">
      <c r="B655" s="50">
        <f t="shared" si="43"/>
        <v>45991</v>
      </c>
      <c r="C655">
        <v>3104105</v>
      </c>
      <c r="D655">
        <v>2623746</v>
      </c>
      <c r="E655" s="3">
        <v>290463.59999999998</v>
      </c>
      <c r="F655" s="3">
        <v>55598.58</v>
      </c>
      <c r="G655" s="3">
        <v>51237.767464133016</v>
      </c>
      <c r="H655" s="10">
        <v>4360.812535866984</v>
      </c>
      <c r="I655" s="10">
        <f t="shared" si="45"/>
        <v>4360.812535866984</v>
      </c>
      <c r="J655" s="10">
        <f t="shared" si="44"/>
        <v>4360.812535866984</v>
      </c>
      <c r="K655">
        <v>30</v>
      </c>
      <c r="M655" t="str">
        <f>VLOOKUP(C655,Lookup!B:C,2,0)</f>
        <v>San Pablo</v>
      </c>
    </row>
    <row r="656" spans="2:13">
      <c r="B656" s="50">
        <f t="shared" si="43"/>
        <v>45991</v>
      </c>
      <c r="C656">
        <v>3104105</v>
      </c>
      <c r="D656">
        <v>2623747</v>
      </c>
      <c r="E656" s="3">
        <v>321873</v>
      </c>
      <c r="F656" s="3">
        <v>30087.65</v>
      </c>
      <c r="G656" s="3">
        <v>27825.421464133018</v>
      </c>
      <c r="H656" s="10">
        <v>2262.2285358669847</v>
      </c>
      <c r="I656" s="10">
        <f t="shared" si="45"/>
        <v>2262.2285358669847</v>
      </c>
      <c r="J656" s="10">
        <f t="shared" si="44"/>
        <v>2262.2285358669847</v>
      </c>
      <c r="K656">
        <v>30</v>
      </c>
      <c r="M656" t="str">
        <f>VLOOKUP(C656,Lookup!B:C,2,0)</f>
        <v>San Pablo</v>
      </c>
    </row>
    <row r="657" spans="2:13">
      <c r="B657" s="50">
        <f t="shared" si="43"/>
        <v>45991</v>
      </c>
      <c r="C657">
        <v>3104105</v>
      </c>
      <c r="D657">
        <v>2634186</v>
      </c>
      <c r="E657" s="3">
        <v>363262.4</v>
      </c>
      <c r="F657" s="3">
        <v>40165.769999999997</v>
      </c>
      <c r="G657" s="3">
        <v>36805.637464133011</v>
      </c>
      <c r="H657" s="10">
        <v>3360.1325358669842</v>
      </c>
      <c r="I657" s="10">
        <f t="shared" si="45"/>
        <v>3360.1325358669842</v>
      </c>
      <c r="J657" s="10">
        <f t="shared" si="44"/>
        <v>3360.1325358669842</v>
      </c>
      <c r="K657">
        <v>30</v>
      </c>
      <c r="M657" t="str">
        <f>VLOOKUP(C657,Lookup!B:C,2,0)</f>
        <v>San Pablo</v>
      </c>
    </row>
    <row r="658" spans="2:13">
      <c r="B658" s="50">
        <f t="shared" si="43"/>
        <v>45991</v>
      </c>
      <c r="C658">
        <v>3104105</v>
      </c>
      <c r="D658">
        <v>2634187</v>
      </c>
      <c r="E658" s="3">
        <v>317247</v>
      </c>
      <c r="F658" s="3">
        <v>31600.68</v>
      </c>
      <c r="G658" s="3">
        <v>29109.860264133014</v>
      </c>
      <c r="H658" s="10">
        <v>2490.8197358669845</v>
      </c>
      <c r="I658" s="10">
        <f t="shared" si="45"/>
        <v>2490.8197358669845</v>
      </c>
      <c r="J658" s="10">
        <f t="shared" si="44"/>
        <v>2490.8197358669845</v>
      </c>
      <c r="K658">
        <v>30</v>
      </c>
      <c r="M658" t="str">
        <f>VLOOKUP(C658,Lookup!B:C,2,0)</f>
        <v>San Pablo</v>
      </c>
    </row>
    <row r="659" spans="2:13">
      <c r="B659" s="50">
        <f t="shared" si="43"/>
        <v>45991</v>
      </c>
      <c r="C659">
        <v>3104105</v>
      </c>
      <c r="D659">
        <v>2634188</v>
      </c>
      <c r="E659" s="3">
        <v>405690.6</v>
      </c>
      <c r="F659" s="3">
        <v>41634.76</v>
      </c>
      <c r="G659" s="3">
        <v>38347.929864133017</v>
      </c>
      <c r="H659" s="10">
        <v>3286.8301358669846</v>
      </c>
      <c r="I659" s="10">
        <f t="shared" si="45"/>
        <v>3286.8301358669846</v>
      </c>
      <c r="J659" s="10">
        <f t="shared" si="44"/>
        <v>3286.8301358669846</v>
      </c>
      <c r="K659">
        <v>30</v>
      </c>
      <c r="M659" t="str">
        <f>VLOOKUP(C659,Lookup!B:C,2,0)</f>
        <v>San Pablo</v>
      </c>
    </row>
    <row r="660" spans="2:13">
      <c r="B660" s="50">
        <f t="shared" si="43"/>
        <v>45991</v>
      </c>
      <c r="C660">
        <v>3104105</v>
      </c>
      <c r="D660">
        <v>2634189</v>
      </c>
      <c r="E660" s="3">
        <v>304769.09999999998</v>
      </c>
      <c r="F660" s="3">
        <v>28405.72</v>
      </c>
      <c r="G660" s="3">
        <v>26170.867464133018</v>
      </c>
      <c r="H660" s="10">
        <v>2234.8525358669845</v>
      </c>
      <c r="I660" s="10">
        <f t="shared" si="45"/>
        <v>2234.8525358669845</v>
      </c>
      <c r="J660" s="10">
        <f t="shared" si="44"/>
        <v>2234.8525358669845</v>
      </c>
      <c r="K660">
        <v>30</v>
      </c>
      <c r="M660" t="str">
        <f>VLOOKUP(C660,Lookup!B:C,2,0)</f>
        <v>San Pablo</v>
      </c>
    </row>
    <row r="661" spans="2:13">
      <c r="B661" s="50">
        <f t="shared" si="43"/>
        <v>45991</v>
      </c>
      <c r="C661">
        <v>3104105</v>
      </c>
      <c r="D661">
        <v>2634190</v>
      </c>
      <c r="E661" s="3">
        <v>273696.90000000002</v>
      </c>
      <c r="F661" s="3">
        <v>23277.68</v>
      </c>
      <c r="G661" s="3">
        <v>21430.037064133016</v>
      </c>
      <c r="H661" s="10">
        <v>1847.6429358669848</v>
      </c>
      <c r="I661" s="10">
        <f t="shared" si="45"/>
        <v>1847.6429358669848</v>
      </c>
      <c r="J661" s="10">
        <f t="shared" si="44"/>
        <v>1847.6429358669848</v>
      </c>
      <c r="K661">
        <v>30</v>
      </c>
      <c r="M661" t="str">
        <f>VLOOKUP(C661,Lookup!B:C,2,0)</f>
        <v>San Pablo</v>
      </c>
    </row>
    <row r="662" spans="2:13">
      <c r="B662" s="50">
        <f t="shared" si="43"/>
        <v>45991</v>
      </c>
      <c r="C662">
        <v>3104105</v>
      </c>
      <c r="D662">
        <v>2634191</v>
      </c>
      <c r="E662" s="3">
        <v>297596</v>
      </c>
      <c r="F662" s="3">
        <v>29258.31</v>
      </c>
      <c r="G662" s="3">
        <v>26912.072664133018</v>
      </c>
      <c r="H662" s="10">
        <v>2346.2373358669847</v>
      </c>
      <c r="I662" s="10">
        <f t="shared" si="45"/>
        <v>2346.2373358669847</v>
      </c>
      <c r="J662" s="10">
        <f t="shared" si="44"/>
        <v>2346.2373358669847</v>
      </c>
      <c r="K662">
        <v>30</v>
      </c>
      <c r="M662" t="str">
        <f>VLOOKUP(C662,Lookup!B:C,2,0)</f>
        <v>San Pablo</v>
      </c>
    </row>
    <row r="663" spans="2:13">
      <c r="B663" s="50">
        <f t="shared" si="43"/>
        <v>45991</v>
      </c>
      <c r="C663">
        <v>3104105</v>
      </c>
      <c r="D663">
        <v>2634192</v>
      </c>
      <c r="E663" s="3">
        <v>322280.8</v>
      </c>
      <c r="F663" s="3">
        <v>22246.84</v>
      </c>
      <c r="G663" s="3">
        <v>20405.142664133014</v>
      </c>
      <c r="H663" s="10">
        <v>1841.6973358669848</v>
      </c>
      <c r="I663" s="10">
        <f t="shared" si="45"/>
        <v>1841.6973358669848</v>
      </c>
      <c r="J663" s="10">
        <f t="shared" si="44"/>
        <v>1841.6973358669848</v>
      </c>
      <c r="K663">
        <v>30</v>
      </c>
      <c r="M663" t="str">
        <f>VLOOKUP(C663,Lookup!B:C,2,0)</f>
        <v>San Pablo</v>
      </c>
    </row>
    <row r="664" spans="2:13">
      <c r="B664" s="50">
        <f t="shared" si="43"/>
        <v>45991</v>
      </c>
      <c r="C664">
        <v>3104105</v>
      </c>
      <c r="D664">
        <v>2634193</v>
      </c>
      <c r="E664" s="3">
        <v>413789.7</v>
      </c>
      <c r="F664" s="3">
        <v>40116.550000000003</v>
      </c>
      <c r="G664" s="3">
        <v>36892.700664133015</v>
      </c>
      <c r="H664" s="10">
        <v>3223.8493358669848</v>
      </c>
      <c r="I664" s="10">
        <f t="shared" si="45"/>
        <v>3223.8493358669848</v>
      </c>
      <c r="J664" s="10">
        <f t="shared" si="44"/>
        <v>3223.8493358669848</v>
      </c>
      <c r="K664">
        <v>30</v>
      </c>
      <c r="M664" t="str">
        <f>VLOOKUP(C664,Lookup!B:C,2,0)</f>
        <v>San Pablo</v>
      </c>
    </row>
    <row r="665" spans="2:13">
      <c r="B665" s="50">
        <f t="shared" si="43"/>
        <v>45991</v>
      </c>
      <c r="C665">
        <v>3104105</v>
      </c>
      <c r="D665">
        <v>2634194</v>
      </c>
      <c r="E665" s="3">
        <v>316473.15000000002</v>
      </c>
      <c r="F665" s="3">
        <v>32770.69</v>
      </c>
      <c r="G665" s="3">
        <v>30173.287864133017</v>
      </c>
      <c r="H665" s="10">
        <v>2597.4021358669847</v>
      </c>
      <c r="I665" s="10">
        <f t="shared" si="45"/>
        <v>2597.4021358669847</v>
      </c>
      <c r="J665" s="10">
        <f t="shared" si="44"/>
        <v>2597.4021358669847</v>
      </c>
      <c r="K665">
        <v>30</v>
      </c>
      <c r="M665" t="str">
        <f>VLOOKUP(C665,Lookup!B:C,2,0)</f>
        <v>San Pablo</v>
      </c>
    </row>
    <row r="666" spans="2:13">
      <c r="B666" s="50">
        <f t="shared" si="43"/>
        <v>45991</v>
      </c>
      <c r="C666">
        <v>3104105</v>
      </c>
      <c r="D666">
        <v>2634195</v>
      </c>
      <c r="E666" s="3">
        <v>353577.6</v>
      </c>
      <c r="F666" s="3">
        <v>23446.53</v>
      </c>
      <c r="G666" s="3">
        <v>21617.888664133014</v>
      </c>
      <c r="H666" s="10">
        <v>1828.6413358669847</v>
      </c>
      <c r="I666" s="10">
        <f t="shared" si="45"/>
        <v>1828.6413358669847</v>
      </c>
      <c r="J666" s="10">
        <f t="shared" si="44"/>
        <v>1828.6413358669847</v>
      </c>
      <c r="K666">
        <v>30</v>
      </c>
      <c r="M666" t="str">
        <f>VLOOKUP(C666,Lookup!B:C,2,0)</f>
        <v>San Pablo</v>
      </c>
    </row>
    <row r="667" spans="2:13">
      <c r="B667" s="50">
        <f t="shared" si="43"/>
        <v>45991</v>
      </c>
      <c r="C667">
        <v>3104105</v>
      </c>
      <c r="D667">
        <v>2634196</v>
      </c>
      <c r="E667" s="3">
        <v>305580.5</v>
      </c>
      <c r="F667" s="3">
        <v>39391.81</v>
      </c>
      <c r="G667" s="3">
        <v>36205.800664133014</v>
      </c>
      <c r="H667" s="10">
        <v>3186.0093358669851</v>
      </c>
      <c r="I667" s="10">
        <f t="shared" si="45"/>
        <v>3186.0093358669851</v>
      </c>
      <c r="J667" s="10">
        <f t="shared" si="44"/>
        <v>3186.0093358669851</v>
      </c>
      <c r="K667">
        <v>30</v>
      </c>
      <c r="M667" t="str">
        <f>VLOOKUP(C667,Lookup!B:C,2,0)</f>
        <v>San Pablo</v>
      </c>
    </row>
    <row r="668" spans="2:13">
      <c r="B668" s="50">
        <f t="shared" si="43"/>
        <v>45991</v>
      </c>
      <c r="C668">
        <v>3104105</v>
      </c>
      <c r="D668">
        <v>2634197</v>
      </c>
      <c r="E668" s="3">
        <v>364808.1</v>
      </c>
      <c r="F668" s="3">
        <v>32125.66</v>
      </c>
      <c r="G668" s="3">
        <v>29596.805064133016</v>
      </c>
      <c r="H668" s="10">
        <v>2528.8549358669848</v>
      </c>
      <c r="I668" s="10">
        <f t="shared" si="45"/>
        <v>2528.8549358669848</v>
      </c>
      <c r="J668" s="10">
        <f t="shared" si="44"/>
        <v>2528.8549358669848</v>
      </c>
      <c r="K668">
        <v>30</v>
      </c>
      <c r="M668" t="str">
        <f>VLOOKUP(C668,Lookup!B:C,2,0)</f>
        <v>San Pablo</v>
      </c>
    </row>
    <row r="669" spans="2:13">
      <c r="B669" s="50">
        <f t="shared" si="43"/>
        <v>45991</v>
      </c>
      <c r="C669">
        <v>3104105</v>
      </c>
      <c r="D669">
        <v>2634198</v>
      </c>
      <c r="E669" s="3">
        <v>474253.2</v>
      </c>
      <c r="F669" s="3">
        <v>51693.36</v>
      </c>
      <c r="G669" s="3">
        <v>47566.277064133013</v>
      </c>
      <c r="H669" s="10">
        <v>4127.0829358669844</v>
      </c>
      <c r="I669" s="10">
        <f t="shared" si="45"/>
        <v>4127.0829358669844</v>
      </c>
      <c r="J669" s="10">
        <f t="shared" si="44"/>
        <v>4127.0829358669844</v>
      </c>
      <c r="K669">
        <v>30</v>
      </c>
      <c r="M669" t="str">
        <f>VLOOKUP(C669,Lookup!B:C,2,0)</f>
        <v>San Pablo</v>
      </c>
    </row>
    <row r="670" spans="2:13">
      <c r="B670" s="50">
        <f t="shared" si="43"/>
        <v>45991</v>
      </c>
      <c r="C670">
        <v>3104105</v>
      </c>
      <c r="D670">
        <v>2634199</v>
      </c>
      <c r="E670" s="3">
        <v>233247</v>
      </c>
      <c r="F670" s="3">
        <v>27109.87</v>
      </c>
      <c r="G670" s="3">
        <v>24952.216664133015</v>
      </c>
      <c r="H670" s="10">
        <v>2157.6533358669844</v>
      </c>
      <c r="I670" s="10">
        <f t="shared" si="45"/>
        <v>2157.6533358669844</v>
      </c>
      <c r="J670" s="10">
        <f t="shared" si="44"/>
        <v>2157.6533358669844</v>
      </c>
      <c r="K670">
        <v>30</v>
      </c>
      <c r="M670" t="str">
        <f>VLOOKUP(C670,Lookup!B:C,2,0)</f>
        <v>San Pablo</v>
      </c>
    </row>
    <row r="671" spans="2:13">
      <c r="B671" s="50">
        <f t="shared" si="43"/>
        <v>45991</v>
      </c>
      <c r="C671">
        <v>3104105</v>
      </c>
      <c r="D671">
        <v>2634200</v>
      </c>
      <c r="E671" s="3">
        <v>370536.5</v>
      </c>
      <c r="F671" s="3">
        <v>38498.35</v>
      </c>
      <c r="G671" s="3">
        <v>35438.916664133016</v>
      </c>
      <c r="H671" s="10">
        <v>3059.4333358669846</v>
      </c>
      <c r="I671" s="10">
        <f t="shared" si="45"/>
        <v>3059.4333358669846</v>
      </c>
      <c r="J671" s="10">
        <f t="shared" si="44"/>
        <v>3059.4333358669846</v>
      </c>
      <c r="K671">
        <v>30</v>
      </c>
      <c r="M671" t="str">
        <f>VLOOKUP(C671,Lookup!B:C,2,0)</f>
        <v>San Pablo</v>
      </c>
    </row>
    <row r="672" spans="2:13">
      <c r="B672" s="50">
        <f t="shared" si="43"/>
        <v>45991</v>
      </c>
      <c r="C672">
        <v>3104105</v>
      </c>
      <c r="D672">
        <v>2634201</v>
      </c>
      <c r="E672" s="3">
        <v>363033</v>
      </c>
      <c r="F672" s="3">
        <v>32262.99</v>
      </c>
      <c r="G672" s="3">
        <v>29704.216664133019</v>
      </c>
      <c r="H672" s="10">
        <v>2558.7733358669843</v>
      </c>
      <c r="I672" s="10">
        <f t="shared" si="45"/>
        <v>2558.7733358669843</v>
      </c>
      <c r="J672" s="10">
        <f t="shared" si="44"/>
        <v>2558.7733358669843</v>
      </c>
      <c r="K672">
        <v>30</v>
      </c>
      <c r="M672" t="str">
        <f>VLOOKUP(C672,Lookup!B:C,2,0)</f>
        <v>San Pablo</v>
      </c>
    </row>
    <row r="673" spans="2:13">
      <c r="B673" s="50">
        <f t="shared" si="43"/>
        <v>45991</v>
      </c>
      <c r="C673">
        <v>3104105</v>
      </c>
      <c r="D673">
        <v>2635005</v>
      </c>
      <c r="E673" s="3">
        <v>540847</v>
      </c>
      <c r="F673" s="3">
        <v>22701.07</v>
      </c>
      <c r="G673" s="3">
        <v>20827.044664133016</v>
      </c>
      <c r="H673" s="10">
        <v>1874.0253358669847</v>
      </c>
      <c r="I673" s="10">
        <f t="shared" si="45"/>
        <v>1874.0253358669847</v>
      </c>
      <c r="J673" s="10">
        <f t="shared" si="44"/>
        <v>1874.0253358669847</v>
      </c>
      <c r="K673">
        <v>30</v>
      </c>
      <c r="M673" t="str">
        <f>VLOOKUP(C673,Lookup!B:C,2,0)</f>
        <v>San Pablo</v>
      </c>
    </row>
    <row r="674" spans="2:13">
      <c r="B674" s="50">
        <f t="shared" si="43"/>
        <v>45991</v>
      </c>
      <c r="C674">
        <v>3104105</v>
      </c>
      <c r="D674">
        <v>2635006</v>
      </c>
      <c r="E674" s="3">
        <v>579412</v>
      </c>
      <c r="F674" s="3">
        <v>26669.07</v>
      </c>
      <c r="G674" s="3">
        <v>24517.844664133016</v>
      </c>
      <c r="H674" s="10">
        <v>2151.2253358669846</v>
      </c>
      <c r="I674" s="10">
        <f t="shared" si="45"/>
        <v>2151.2253358669846</v>
      </c>
      <c r="J674" s="10">
        <f t="shared" si="44"/>
        <v>2151.2253358669846</v>
      </c>
      <c r="K674">
        <v>30</v>
      </c>
      <c r="M674" t="str">
        <f>VLOOKUP(C674,Lookup!B:C,2,0)</f>
        <v>San Pablo</v>
      </c>
    </row>
    <row r="675" spans="2:13">
      <c r="B675" s="50">
        <f t="shared" si="43"/>
        <v>45991</v>
      </c>
      <c r="C675">
        <v>3104105</v>
      </c>
      <c r="D675">
        <v>2635007</v>
      </c>
      <c r="E675" s="3">
        <v>369034.75</v>
      </c>
      <c r="F675" s="3">
        <v>20587.71</v>
      </c>
      <c r="G675" s="3">
        <v>18931.044664133013</v>
      </c>
      <c r="H675" s="10">
        <v>1656.6653358669846</v>
      </c>
      <c r="I675" s="10">
        <f t="shared" si="45"/>
        <v>1656.6653358669846</v>
      </c>
      <c r="J675" s="10">
        <f t="shared" si="44"/>
        <v>1656.6653358669846</v>
      </c>
      <c r="K675">
        <v>30</v>
      </c>
      <c r="M675" t="str">
        <f>VLOOKUP(C675,Lookup!B:C,2,0)</f>
        <v>San Pablo</v>
      </c>
    </row>
    <row r="676" spans="2:13">
      <c r="B676" s="50">
        <f t="shared" si="43"/>
        <v>45991</v>
      </c>
      <c r="C676">
        <v>3104105</v>
      </c>
      <c r="D676">
        <v>2645163</v>
      </c>
      <c r="E676" s="3">
        <v>424551.5</v>
      </c>
      <c r="F676" s="3">
        <v>31621.52</v>
      </c>
      <c r="G676" s="3">
        <v>29145.054664133015</v>
      </c>
      <c r="H676" s="10">
        <v>2476.4653358669848</v>
      </c>
      <c r="I676" s="10">
        <f t="shared" si="45"/>
        <v>2476.4653358669848</v>
      </c>
      <c r="J676" s="10">
        <f t="shared" si="44"/>
        <v>2476.4653358669848</v>
      </c>
      <c r="K676">
        <v>30</v>
      </c>
      <c r="M676" t="str">
        <f>VLOOKUP(C676,Lookup!B:C,2,0)</f>
        <v>San Pablo</v>
      </c>
    </row>
    <row r="677" spans="2:13">
      <c r="B677" s="50">
        <f t="shared" si="43"/>
        <v>45991</v>
      </c>
      <c r="C677">
        <v>3104105</v>
      </c>
      <c r="D677">
        <v>2645164</v>
      </c>
      <c r="E677" s="3">
        <v>291207.5</v>
      </c>
      <c r="F677" s="3">
        <v>14893.52</v>
      </c>
      <c r="G677" s="3">
        <v>13745.990664133016</v>
      </c>
      <c r="H677" s="10">
        <v>1147.5293358669846</v>
      </c>
      <c r="I677" s="10">
        <f t="shared" si="45"/>
        <v>1147.5293358669846</v>
      </c>
      <c r="J677" s="10">
        <f t="shared" si="44"/>
        <v>1147.5293358669846</v>
      </c>
      <c r="K677">
        <v>30</v>
      </c>
      <c r="M677" t="str">
        <f>VLOOKUP(C677,Lookup!B:C,2,0)</f>
        <v>San Pablo</v>
      </c>
    </row>
    <row r="678" spans="2:13">
      <c r="B678" s="50">
        <f t="shared" si="43"/>
        <v>45991</v>
      </c>
      <c r="C678">
        <v>3104105</v>
      </c>
      <c r="D678">
        <v>2645165</v>
      </c>
      <c r="E678" s="3">
        <v>243480</v>
      </c>
      <c r="F678" s="3">
        <v>20209.8</v>
      </c>
      <c r="G678" s="3">
        <v>18635.374664133014</v>
      </c>
      <c r="H678" s="10">
        <v>1574.4253358669846</v>
      </c>
      <c r="I678" s="10">
        <f t="shared" si="45"/>
        <v>1574.4253358669846</v>
      </c>
      <c r="J678" s="10">
        <f t="shared" si="44"/>
        <v>1574.4253358669846</v>
      </c>
      <c r="K678">
        <v>30</v>
      </c>
      <c r="M678" t="str">
        <f>VLOOKUP(C678,Lookup!B:C,2,0)</f>
        <v>San Pablo</v>
      </c>
    </row>
    <row r="679" spans="2:13">
      <c r="B679" s="50">
        <f t="shared" si="43"/>
        <v>45991</v>
      </c>
      <c r="C679">
        <v>3104105</v>
      </c>
      <c r="D679">
        <v>2645166</v>
      </c>
      <c r="E679" s="3">
        <v>281174.75</v>
      </c>
      <c r="F679" s="3">
        <v>29449.25</v>
      </c>
      <c r="G679" s="3">
        <v>27127.864664133016</v>
      </c>
      <c r="H679" s="10">
        <v>2321.3853358669849</v>
      </c>
      <c r="I679" s="10">
        <f t="shared" si="45"/>
        <v>2321.3853358669849</v>
      </c>
      <c r="J679" s="10">
        <f t="shared" si="44"/>
        <v>2321.3853358669849</v>
      </c>
      <c r="K679">
        <v>30</v>
      </c>
      <c r="M679" t="str">
        <f>VLOOKUP(C679,Lookup!B:C,2,0)</f>
        <v>San Pablo</v>
      </c>
    </row>
    <row r="680" spans="2:13">
      <c r="B680" s="50">
        <f t="shared" si="43"/>
        <v>45991</v>
      </c>
      <c r="C680">
        <v>3104105</v>
      </c>
      <c r="D680">
        <v>2645167</v>
      </c>
      <c r="E680" s="3">
        <v>327086.25</v>
      </c>
      <c r="F680" s="3">
        <v>34722.160000000003</v>
      </c>
      <c r="G680" s="3">
        <v>31989.45466413302</v>
      </c>
      <c r="H680" s="10">
        <v>2732.7053358669846</v>
      </c>
      <c r="I680" s="10">
        <f t="shared" si="45"/>
        <v>2732.7053358669846</v>
      </c>
      <c r="J680" s="10">
        <f t="shared" si="44"/>
        <v>2732.7053358669846</v>
      </c>
      <c r="K680">
        <v>30</v>
      </c>
      <c r="M680" t="str">
        <f>VLOOKUP(C680,Lookup!B:C,2,0)</f>
        <v>San Pablo</v>
      </c>
    </row>
    <row r="681" spans="2:13">
      <c r="B681" s="50">
        <f t="shared" si="43"/>
        <v>45991</v>
      </c>
      <c r="C681">
        <v>3104105</v>
      </c>
      <c r="D681">
        <v>2645168</v>
      </c>
      <c r="E681" s="3">
        <v>145518.75</v>
      </c>
      <c r="F681" s="3">
        <v>8937.4999999999909</v>
      </c>
      <c r="G681" s="3">
        <v>8284.154664133006</v>
      </c>
      <c r="H681" s="10">
        <v>653.34533586698467</v>
      </c>
      <c r="I681" s="10">
        <f t="shared" si="45"/>
        <v>653.34533586698467</v>
      </c>
      <c r="J681" s="10">
        <f t="shared" si="44"/>
        <v>653.34533586698467</v>
      </c>
      <c r="K681">
        <v>30</v>
      </c>
      <c r="M681" t="str">
        <f>VLOOKUP(C681,Lookup!B:C,2,0)</f>
        <v>San Pablo</v>
      </c>
    </row>
    <row r="682" spans="2:13">
      <c r="B682" s="50">
        <f t="shared" si="43"/>
        <v>45991</v>
      </c>
      <c r="C682">
        <v>3104105</v>
      </c>
      <c r="D682">
        <v>2645169</v>
      </c>
      <c r="E682" s="3">
        <v>376713.5</v>
      </c>
      <c r="F682" s="3">
        <v>23960.04</v>
      </c>
      <c r="G682" s="3">
        <v>22077.214664133015</v>
      </c>
      <c r="H682" s="10">
        <v>1882.8253358669847</v>
      </c>
      <c r="I682" s="10">
        <f t="shared" si="45"/>
        <v>1882.8253358669847</v>
      </c>
      <c r="J682" s="10">
        <f t="shared" si="44"/>
        <v>1882.8253358669847</v>
      </c>
      <c r="K682">
        <v>30</v>
      </c>
      <c r="M682" t="str">
        <f>VLOOKUP(C682,Lookup!B:C,2,0)</f>
        <v>San Pablo</v>
      </c>
    </row>
    <row r="683" spans="2:13">
      <c r="B683" s="50">
        <f t="shared" si="43"/>
        <v>45991</v>
      </c>
      <c r="C683">
        <v>3104105</v>
      </c>
      <c r="D683">
        <v>2645170</v>
      </c>
      <c r="E683" s="3">
        <v>385020</v>
      </c>
      <c r="F683" s="3">
        <v>27532.400000000001</v>
      </c>
      <c r="G683" s="3">
        <v>25373.494664133017</v>
      </c>
      <c r="H683" s="10">
        <v>2158.9053358669848</v>
      </c>
      <c r="I683" s="10">
        <f t="shared" si="45"/>
        <v>2158.9053358669848</v>
      </c>
      <c r="J683" s="10">
        <f t="shared" si="44"/>
        <v>2158.9053358669848</v>
      </c>
      <c r="K683">
        <v>30</v>
      </c>
      <c r="M683" t="str">
        <f>VLOOKUP(C683,Lookup!B:C,2,0)</f>
        <v>San Pablo</v>
      </c>
    </row>
    <row r="684" spans="2:13">
      <c r="B684" s="50">
        <f t="shared" si="43"/>
        <v>45991</v>
      </c>
      <c r="C684">
        <v>3104105</v>
      </c>
      <c r="D684">
        <v>2645171</v>
      </c>
      <c r="E684" s="3">
        <v>320945.75</v>
      </c>
      <c r="F684" s="3">
        <v>6740.84</v>
      </c>
      <c r="G684" s="3">
        <v>6277.1746641330155</v>
      </c>
      <c r="H684" s="10">
        <v>463.66533586698461</v>
      </c>
      <c r="I684" s="10">
        <f t="shared" si="45"/>
        <v>463.66533586698461</v>
      </c>
      <c r="J684" s="10">
        <f t="shared" si="44"/>
        <v>463.66533586698461</v>
      </c>
      <c r="K684">
        <v>30</v>
      </c>
      <c r="M684" t="str">
        <f>VLOOKUP(C684,Lookup!B:C,2,0)</f>
        <v>San Pablo</v>
      </c>
    </row>
    <row r="685" spans="2:13">
      <c r="B685" s="50">
        <f t="shared" si="43"/>
        <v>45991</v>
      </c>
      <c r="C685">
        <v>3104105</v>
      </c>
      <c r="D685">
        <v>2645172</v>
      </c>
      <c r="E685" s="3">
        <v>504255</v>
      </c>
      <c r="F685" s="3">
        <v>25905.18</v>
      </c>
      <c r="G685" s="3">
        <v>23829.554664133015</v>
      </c>
      <c r="H685" s="10">
        <v>2075.6253358669846</v>
      </c>
      <c r="I685" s="10">
        <f t="shared" si="45"/>
        <v>2075.6253358669846</v>
      </c>
      <c r="J685" s="10">
        <f t="shared" si="44"/>
        <v>2075.6253358669846</v>
      </c>
      <c r="K685">
        <v>30</v>
      </c>
      <c r="M685" t="str">
        <f>VLOOKUP(C685,Lookup!B:C,2,0)</f>
        <v>San Pablo</v>
      </c>
    </row>
    <row r="686" spans="2:13">
      <c r="B686" s="50">
        <f t="shared" si="43"/>
        <v>45991</v>
      </c>
      <c r="C686">
        <v>3104105</v>
      </c>
      <c r="D686">
        <v>2645173</v>
      </c>
      <c r="E686" s="3">
        <v>365775</v>
      </c>
      <c r="F686" s="3">
        <v>21479.35</v>
      </c>
      <c r="G686" s="3">
        <v>19828.524664133012</v>
      </c>
      <c r="H686" s="10">
        <v>1650.8253358669847</v>
      </c>
      <c r="I686" s="10">
        <f t="shared" si="45"/>
        <v>1650.8253358669847</v>
      </c>
      <c r="J686" s="10">
        <f t="shared" si="44"/>
        <v>1650.8253358669847</v>
      </c>
      <c r="K686">
        <v>30</v>
      </c>
      <c r="M686" t="str">
        <f>VLOOKUP(C686,Lookup!B:C,2,0)</f>
        <v>San Pablo</v>
      </c>
    </row>
    <row r="687" spans="2:13">
      <c r="B687" s="50">
        <f t="shared" si="43"/>
        <v>45991</v>
      </c>
      <c r="C687">
        <v>3104105</v>
      </c>
      <c r="D687">
        <v>2645174</v>
      </c>
      <c r="E687" s="3">
        <v>229057.5</v>
      </c>
      <c r="F687" s="3">
        <v>14393.87</v>
      </c>
      <c r="G687" s="3">
        <v>13305.724664133017</v>
      </c>
      <c r="H687" s="10">
        <v>1088.1453358669846</v>
      </c>
      <c r="I687" s="10">
        <f t="shared" si="45"/>
        <v>1088.1453358669846</v>
      </c>
      <c r="J687" s="10">
        <f t="shared" si="44"/>
        <v>1088.1453358669846</v>
      </c>
      <c r="K687">
        <v>30</v>
      </c>
      <c r="M687" t="str">
        <f>VLOOKUP(C687,Lookup!B:C,2,0)</f>
        <v>San Pablo</v>
      </c>
    </row>
    <row r="688" spans="2:13">
      <c r="B688" s="50">
        <f t="shared" si="43"/>
        <v>45991</v>
      </c>
      <c r="C688">
        <v>3104105</v>
      </c>
      <c r="D688">
        <v>2650434</v>
      </c>
      <c r="E688" s="3">
        <v>277979.25</v>
      </c>
      <c r="F688" s="3">
        <v>29251.93</v>
      </c>
      <c r="G688" s="3">
        <v>26990.640664133018</v>
      </c>
      <c r="H688" s="10">
        <v>2261.2893358669844</v>
      </c>
      <c r="I688" s="10">
        <f t="shared" si="45"/>
        <v>2261.2893358669844</v>
      </c>
      <c r="J688" s="10">
        <f t="shared" si="44"/>
        <v>2261.2893358669844</v>
      </c>
      <c r="K688">
        <v>30</v>
      </c>
      <c r="M688" t="str">
        <f>VLOOKUP(C688,Lookup!B:C,2,0)</f>
        <v>San Pablo</v>
      </c>
    </row>
    <row r="689" spans="2:13">
      <c r="B689" s="50">
        <f t="shared" si="43"/>
        <v>45991</v>
      </c>
      <c r="C689">
        <v>3104105</v>
      </c>
      <c r="D689">
        <v>2650435</v>
      </c>
      <c r="E689" s="3">
        <v>285814</v>
      </c>
      <c r="F689" s="3">
        <v>19714.18</v>
      </c>
      <c r="G689" s="3">
        <v>18197.950664133015</v>
      </c>
      <c r="H689" s="10">
        <v>1516.2293358669847</v>
      </c>
      <c r="I689" s="10">
        <f t="shared" si="45"/>
        <v>1516.2293358669847</v>
      </c>
      <c r="J689" s="10">
        <f t="shared" si="44"/>
        <v>1516.2293358669847</v>
      </c>
      <c r="K689">
        <v>30</v>
      </c>
      <c r="M689" t="str">
        <f>VLOOKUP(C689,Lookup!B:C,2,0)</f>
        <v>San Pablo</v>
      </c>
    </row>
    <row r="690" spans="2:13">
      <c r="B690" s="50">
        <f t="shared" si="43"/>
        <v>45991</v>
      </c>
      <c r="C690">
        <v>3104105</v>
      </c>
      <c r="D690">
        <v>2650436</v>
      </c>
      <c r="E690" s="3">
        <v>275917.25</v>
      </c>
      <c r="F690" s="3">
        <v>34842.29</v>
      </c>
      <c r="G690" s="3">
        <v>32271.406264133017</v>
      </c>
      <c r="H690" s="10">
        <v>2570.8837358669848</v>
      </c>
      <c r="I690" s="10">
        <f t="shared" si="45"/>
        <v>2570.8837358669848</v>
      </c>
      <c r="J690" s="10">
        <f t="shared" si="44"/>
        <v>2570.8837358669848</v>
      </c>
      <c r="K690">
        <v>30</v>
      </c>
      <c r="M690" t="str">
        <f>VLOOKUP(C690,Lookup!B:C,2,0)</f>
        <v>San Pablo</v>
      </c>
    </row>
    <row r="691" spans="2:13">
      <c r="B691" s="50">
        <f t="shared" si="43"/>
        <v>45991</v>
      </c>
      <c r="C691">
        <v>3104105</v>
      </c>
      <c r="D691">
        <v>2650437</v>
      </c>
      <c r="E691" s="3">
        <v>265930.5</v>
      </c>
      <c r="F691" s="3">
        <v>28690.89</v>
      </c>
      <c r="G691" s="3">
        <v>26456.579864133015</v>
      </c>
      <c r="H691" s="10">
        <v>2234.3101358669846</v>
      </c>
      <c r="I691" s="10">
        <f t="shared" si="45"/>
        <v>2234.3101358669846</v>
      </c>
      <c r="J691" s="10">
        <f t="shared" si="44"/>
        <v>2234.3101358669846</v>
      </c>
      <c r="K691">
        <v>30</v>
      </c>
      <c r="M691" t="str">
        <f>VLOOKUP(C691,Lookup!B:C,2,0)</f>
        <v>San Pablo</v>
      </c>
    </row>
    <row r="692" spans="2:13">
      <c r="B692" s="50">
        <f t="shared" si="43"/>
        <v>45991</v>
      </c>
      <c r="C692">
        <v>3104105</v>
      </c>
      <c r="D692">
        <v>2650438</v>
      </c>
      <c r="E692" s="3">
        <v>320460.75</v>
      </c>
      <c r="F692" s="3">
        <v>35506.839999999997</v>
      </c>
      <c r="G692" s="3">
        <v>32780.41226413301</v>
      </c>
      <c r="H692" s="10">
        <v>2726.4277358669847</v>
      </c>
      <c r="I692" s="10">
        <f t="shared" si="45"/>
        <v>2726.4277358669847</v>
      </c>
      <c r="J692" s="10">
        <f t="shared" si="44"/>
        <v>2726.4277358669847</v>
      </c>
      <c r="K692">
        <v>30</v>
      </c>
      <c r="M692" t="str">
        <f>VLOOKUP(C692,Lookup!B:C,2,0)</f>
        <v>San Pablo</v>
      </c>
    </row>
    <row r="693" spans="2:13">
      <c r="B693" s="50">
        <f t="shared" si="43"/>
        <v>45991</v>
      </c>
      <c r="C693">
        <v>3104105</v>
      </c>
      <c r="D693">
        <v>2650439</v>
      </c>
      <c r="E693" s="3">
        <v>373091.86</v>
      </c>
      <c r="F693" s="3">
        <v>42138.52</v>
      </c>
      <c r="G693" s="3">
        <v>38814.130664133016</v>
      </c>
      <c r="H693" s="10">
        <v>3324.3893358669848</v>
      </c>
      <c r="I693" s="10">
        <f t="shared" si="45"/>
        <v>3324.3893358669848</v>
      </c>
      <c r="J693" s="10">
        <f t="shared" si="44"/>
        <v>3324.3893358669848</v>
      </c>
      <c r="K693">
        <v>30</v>
      </c>
      <c r="M693" t="str">
        <f>VLOOKUP(C693,Lookup!B:C,2,0)</f>
        <v>San Pablo</v>
      </c>
    </row>
    <row r="694" spans="2:13">
      <c r="B694" s="50">
        <f t="shared" si="43"/>
        <v>45991</v>
      </c>
      <c r="C694">
        <v>3104105</v>
      </c>
      <c r="D694">
        <v>2650440</v>
      </c>
      <c r="E694" s="3">
        <v>325581.14</v>
      </c>
      <c r="F694" s="3">
        <v>13672.27</v>
      </c>
      <c r="G694" s="3">
        <v>12616.221464133016</v>
      </c>
      <c r="H694" s="10">
        <v>1056.0485358669846</v>
      </c>
      <c r="I694" s="10">
        <f t="shared" si="45"/>
        <v>1056.0485358669846</v>
      </c>
      <c r="J694" s="10">
        <f t="shared" si="44"/>
        <v>1056.0485358669846</v>
      </c>
      <c r="K694">
        <v>30</v>
      </c>
      <c r="M694" t="str">
        <f>VLOOKUP(C694,Lookup!B:C,2,0)</f>
        <v>San Pablo</v>
      </c>
    </row>
    <row r="695" spans="2:13">
      <c r="B695" s="50">
        <f t="shared" si="43"/>
        <v>45991</v>
      </c>
      <c r="C695">
        <v>3104105</v>
      </c>
      <c r="D695">
        <v>2650441</v>
      </c>
      <c r="E695" s="3">
        <v>336919.58</v>
      </c>
      <c r="F695" s="3">
        <v>39199.82</v>
      </c>
      <c r="G695" s="3">
        <v>36110.473064133017</v>
      </c>
      <c r="H695" s="10">
        <v>3089.3469358669845</v>
      </c>
      <c r="I695" s="10">
        <f t="shared" si="45"/>
        <v>3089.3469358669845</v>
      </c>
      <c r="J695" s="10">
        <f t="shared" si="44"/>
        <v>3089.3469358669845</v>
      </c>
      <c r="K695">
        <v>30</v>
      </c>
      <c r="M695" t="str">
        <f>VLOOKUP(C695,Lookup!B:C,2,0)</f>
        <v>San Pablo</v>
      </c>
    </row>
    <row r="696" spans="2:13">
      <c r="B696" s="50">
        <f t="shared" si="43"/>
        <v>45991</v>
      </c>
      <c r="C696">
        <v>3104105</v>
      </c>
      <c r="D696">
        <v>2650442</v>
      </c>
      <c r="E696" s="3">
        <v>321206.94</v>
      </c>
      <c r="F696" s="3">
        <v>23163.38</v>
      </c>
      <c r="G696" s="3">
        <v>21309.291464133017</v>
      </c>
      <c r="H696" s="10">
        <v>1854.0885358669848</v>
      </c>
      <c r="I696" s="10">
        <f t="shared" si="45"/>
        <v>1854.0885358669848</v>
      </c>
      <c r="J696" s="10">
        <f t="shared" si="44"/>
        <v>1854.0885358669848</v>
      </c>
      <c r="K696">
        <v>30</v>
      </c>
      <c r="M696" t="str">
        <f>VLOOKUP(C696,Lookup!B:C,2,0)</f>
        <v>San Pablo</v>
      </c>
    </row>
    <row r="697" spans="2:13">
      <c r="B697" s="50">
        <f t="shared" si="43"/>
        <v>45991</v>
      </c>
      <c r="C697">
        <v>3104105</v>
      </c>
      <c r="D697">
        <v>2650443</v>
      </c>
      <c r="E697" s="3">
        <v>303357.65999999997</v>
      </c>
      <c r="F697" s="3">
        <v>34117.99</v>
      </c>
      <c r="G697" s="3">
        <v>31467.388664133014</v>
      </c>
      <c r="H697" s="10">
        <v>2650.6013358669843</v>
      </c>
      <c r="I697" s="10">
        <f t="shared" si="45"/>
        <v>2650.6013358669843</v>
      </c>
      <c r="J697" s="10">
        <f t="shared" si="44"/>
        <v>2650.6013358669843</v>
      </c>
      <c r="K697">
        <v>30</v>
      </c>
      <c r="M697" t="str">
        <f>VLOOKUP(C697,Lookup!B:C,2,0)</f>
        <v>San Pablo</v>
      </c>
    </row>
    <row r="698" spans="2:13">
      <c r="B698" s="50">
        <f t="shared" ref="B698:B733" si="46">B697</f>
        <v>45991</v>
      </c>
      <c r="C698">
        <v>3104105</v>
      </c>
      <c r="D698">
        <v>2650444</v>
      </c>
      <c r="E698" s="3">
        <v>374119.22</v>
      </c>
      <c r="F698" s="3">
        <v>30974.09</v>
      </c>
      <c r="G698" s="3">
        <v>28424.365464133014</v>
      </c>
      <c r="H698" s="10">
        <v>2549.7245358669848</v>
      </c>
      <c r="I698" s="10">
        <f t="shared" si="45"/>
        <v>2549.7245358669848</v>
      </c>
      <c r="J698" s="10">
        <f t="shared" si="44"/>
        <v>2549.7245358669848</v>
      </c>
      <c r="K698">
        <v>30</v>
      </c>
      <c r="M698" t="str">
        <f>VLOOKUP(C698,Lookup!B:C,2,0)</f>
        <v>San Pablo</v>
      </c>
    </row>
    <row r="699" spans="2:13">
      <c r="B699" s="50">
        <f t="shared" si="46"/>
        <v>45991</v>
      </c>
      <c r="C699">
        <v>3104105</v>
      </c>
      <c r="D699">
        <v>2650445</v>
      </c>
      <c r="E699" s="3">
        <v>238384.25</v>
      </c>
      <c r="F699" s="3">
        <v>26227.85</v>
      </c>
      <c r="G699" s="3">
        <v>24214.269464133013</v>
      </c>
      <c r="H699" s="10">
        <v>2013.5805358669845</v>
      </c>
      <c r="I699" s="10">
        <f t="shared" si="45"/>
        <v>2013.5805358669845</v>
      </c>
      <c r="J699" s="10">
        <f t="shared" si="44"/>
        <v>2013.5805358669845</v>
      </c>
      <c r="K699">
        <v>30</v>
      </c>
      <c r="M699" t="str">
        <f>VLOOKUP(C699,Lookup!B:C,2,0)</f>
        <v>San Pablo</v>
      </c>
    </row>
    <row r="700" spans="2:13">
      <c r="B700" s="50">
        <f t="shared" si="46"/>
        <v>45991</v>
      </c>
      <c r="C700">
        <v>3104105</v>
      </c>
      <c r="D700">
        <v>2650446</v>
      </c>
      <c r="E700" s="3">
        <v>190181</v>
      </c>
      <c r="F700" s="3">
        <v>18800.82</v>
      </c>
      <c r="G700" s="3">
        <v>17430.487464133013</v>
      </c>
      <c r="H700" s="10">
        <v>1370.3325358669847</v>
      </c>
      <c r="I700" s="10">
        <f t="shared" si="45"/>
        <v>1370.3325358669847</v>
      </c>
      <c r="J700" s="10">
        <f t="shared" si="44"/>
        <v>1370.3325358669847</v>
      </c>
      <c r="K700">
        <v>30</v>
      </c>
      <c r="M700" t="str">
        <f>VLOOKUP(C700,Lookup!B:C,2,0)</f>
        <v>San Pablo</v>
      </c>
    </row>
    <row r="701" spans="2:13">
      <c r="B701" s="50">
        <f t="shared" si="46"/>
        <v>45991</v>
      </c>
      <c r="C701">
        <v>3104105</v>
      </c>
      <c r="D701">
        <v>2650447</v>
      </c>
      <c r="E701" s="3">
        <v>210707.5</v>
      </c>
      <c r="F701" s="3">
        <v>30206.75</v>
      </c>
      <c r="G701" s="3">
        <v>27864.890264133017</v>
      </c>
      <c r="H701" s="10">
        <v>2341.8597358669845</v>
      </c>
      <c r="I701" s="10">
        <f t="shared" si="45"/>
        <v>2341.8597358669845</v>
      </c>
      <c r="J701" s="10">
        <f t="shared" si="44"/>
        <v>2341.8597358669845</v>
      </c>
      <c r="K701">
        <v>30</v>
      </c>
      <c r="M701" t="str">
        <f>VLOOKUP(C701,Lookup!B:C,2,0)</f>
        <v>San Pablo</v>
      </c>
    </row>
    <row r="702" spans="2:13">
      <c r="B702" s="50">
        <f t="shared" si="46"/>
        <v>45991</v>
      </c>
      <c r="C702">
        <v>3104105</v>
      </c>
      <c r="D702">
        <v>2650448</v>
      </c>
      <c r="E702" s="3">
        <v>188112</v>
      </c>
      <c r="F702" s="3">
        <v>14954.82</v>
      </c>
      <c r="G702" s="3">
        <v>13822.208264133014</v>
      </c>
      <c r="H702" s="10">
        <v>1132.6117358669846</v>
      </c>
      <c r="I702" s="10">
        <f t="shared" si="45"/>
        <v>1132.6117358669846</v>
      </c>
      <c r="J702" s="10">
        <f t="shared" si="44"/>
        <v>1132.6117358669846</v>
      </c>
      <c r="K702">
        <v>30</v>
      </c>
      <c r="M702" t="str">
        <f>VLOOKUP(C702,Lookup!B:C,2,0)</f>
        <v>San Pablo</v>
      </c>
    </row>
    <row r="703" spans="2:13">
      <c r="B703" s="50">
        <f t="shared" si="46"/>
        <v>45991</v>
      </c>
      <c r="C703">
        <v>3104105</v>
      </c>
      <c r="D703">
        <v>2650449</v>
      </c>
      <c r="E703" s="3">
        <v>240973</v>
      </c>
      <c r="F703" s="3">
        <v>27305</v>
      </c>
      <c r="G703" s="3">
        <v>25204.253064133016</v>
      </c>
      <c r="H703" s="10">
        <v>2100.7469358669846</v>
      </c>
      <c r="I703" s="10">
        <f t="shared" si="45"/>
        <v>2100.7469358669846</v>
      </c>
      <c r="J703" s="10">
        <f t="shared" si="44"/>
        <v>2100.7469358669846</v>
      </c>
      <c r="K703">
        <v>30</v>
      </c>
      <c r="M703" t="str">
        <f>VLOOKUP(C703,Lookup!B:C,2,0)</f>
        <v>San Pablo</v>
      </c>
    </row>
    <row r="704" spans="2:13">
      <c r="B704" s="50">
        <f t="shared" si="46"/>
        <v>45991</v>
      </c>
      <c r="C704">
        <v>3104105</v>
      </c>
      <c r="D704">
        <v>2650450</v>
      </c>
      <c r="E704" s="3">
        <v>269557.75</v>
      </c>
      <c r="F704" s="3">
        <v>29657.38</v>
      </c>
      <c r="G704" s="3">
        <v>27348.430664133015</v>
      </c>
      <c r="H704" s="10">
        <v>2308.9493358669847</v>
      </c>
      <c r="I704" s="10">
        <f t="shared" si="45"/>
        <v>2308.9493358669847</v>
      </c>
      <c r="J704" s="10">
        <f t="shared" si="44"/>
        <v>2308.9493358669847</v>
      </c>
      <c r="K704">
        <v>30</v>
      </c>
      <c r="M704" t="str">
        <f>VLOOKUP(C704,Lookup!B:C,2,0)</f>
        <v>San Pablo</v>
      </c>
    </row>
    <row r="705" spans="2:13">
      <c r="B705" s="50">
        <f t="shared" si="46"/>
        <v>45991</v>
      </c>
      <c r="C705">
        <v>3104105</v>
      </c>
      <c r="D705">
        <v>2650451</v>
      </c>
      <c r="E705" s="3">
        <v>232020</v>
      </c>
      <c r="F705" s="3">
        <v>19692.599999999999</v>
      </c>
      <c r="G705" s="3">
        <v>18135.730664133014</v>
      </c>
      <c r="H705" s="10">
        <v>1556.8693358669846</v>
      </c>
      <c r="I705" s="10">
        <f t="shared" si="45"/>
        <v>1556.8693358669846</v>
      </c>
      <c r="J705" s="10">
        <f t="shared" si="44"/>
        <v>1556.8693358669846</v>
      </c>
      <c r="K705">
        <v>30</v>
      </c>
      <c r="M705" t="str">
        <f>VLOOKUP(C705,Lookup!B:C,2,0)</f>
        <v>San Pablo</v>
      </c>
    </row>
    <row r="706" spans="2:13">
      <c r="B706" s="50">
        <f t="shared" si="46"/>
        <v>45991</v>
      </c>
      <c r="C706">
        <v>3104105</v>
      </c>
      <c r="D706">
        <v>2650452</v>
      </c>
      <c r="E706" s="3">
        <v>235283.75</v>
      </c>
      <c r="F706" s="3">
        <v>11212.65</v>
      </c>
      <c r="G706" s="3">
        <v>10364.632664133014</v>
      </c>
      <c r="H706" s="10">
        <v>848.01733586698458</v>
      </c>
      <c r="I706" s="10">
        <f t="shared" si="45"/>
        <v>848.01733586698458</v>
      </c>
      <c r="J706" s="10">
        <f t="shared" ref="J706:J733" si="47">I706</f>
        <v>848.01733586698458</v>
      </c>
      <c r="K706">
        <v>30</v>
      </c>
      <c r="M706" t="str">
        <f>VLOOKUP(C706,Lookup!B:C,2,0)</f>
        <v>San Pablo</v>
      </c>
    </row>
    <row r="707" spans="2:13">
      <c r="B707" s="50">
        <f t="shared" si="46"/>
        <v>45991</v>
      </c>
      <c r="C707">
        <v>3104105</v>
      </c>
      <c r="D707">
        <v>2650453</v>
      </c>
      <c r="E707" s="3">
        <v>201676.25</v>
      </c>
      <c r="F707" s="3">
        <v>11282.45</v>
      </c>
      <c r="G707" s="3">
        <v>10427.148664133016</v>
      </c>
      <c r="H707" s="10">
        <v>855.30133586698469</v>
      </c>
      <c r="I707" s="10">
        <f t="shared" si="45"/>
        <v>855.30133586698469</v>
      </c>
      <c r="J707" s="10">
        <f t="shared" si="47"/>
        <v>855.30133586698469</v>
      </c>
      <c r="K707">
        <v>30</v>
      </c>
      <c r="M707" t="str">
        <f>VLOOKUP(C707,Lookup!B:C,2,0)</f>
        <v>San Pablo</v>
      </c>
    </row>
    <row r="708" spans="2:13">
      <c r="B708" s="50">
        <f t="shared" si="46"/>
        <v>45991</v>
      </c>
      <c r="C708">
        <v>3104105</v>
      </c>
      <c r="D708">
        <v>2650454</v>
      </c>
      <c r="E708" s="3">
        <v>334729.75</v>
      </c>
      <c r="F708" s="3">
        <v>47730.67</v>
      </c>
      <c r="G708" s="3">
        <v>43972.087064133011</v>
      </c>
      <c r="H708" s="10">
        <v>3758.5829358669848</v>
      </c>
      <c r="I708" s="10">
        <f t="shared" ref="I708:I733" si="48">H708</f>
        <v>3758.5829358669848</v>
      </c>
      <c r="J708" s="10">
        <f t="shared" si="47"/>
        <v>3758.5829358669848</v>
      </c>
      <c r="K708">
        <v>30</v>
      </c>
      <c r="M708" t="str">
        <f>VLOOKUP(C708,Lookup!B:C,2,0)</f>
        <v>San Pablo</v>
      </c>
    </row>
    <row r="709" spans="2:13">
      <c r="B709" s="50">
        <f t="shared" si="46"/>
        <v>45991</v>
      </c>
      <c r="C709">
        <v>3104105</v>
      </c>
      <c r="D709">
        <v>2650455</v>
      </c>
      <c r="E709" s="3">
        <v>357056</v>
      </c>
      <c r="F709" s="3">
        <v>33912.76</v>
      </c>
      <c r="G709" s="3">
        <v>31264.57866413302</v>
      </c>
      <c r="H709" s="10">
        <v>2648.1813358669842</v>
      </c>
      <c r="I709" s="10">
        <f t="shared" si="48"/>
        <v>2648.1813358669842</v>
      </c>
      <c r="J709" s="10">
        <f t="shared" si="47"/>
        <v>2648.1813358669842</v>
      </c>
      <c r="K709">
        <v>30</v>
      </c>
      <c r="M709" t="str">
        <f>VLOOKUP(C709,Lookup!B:C,2,0)</f>
        <v>San Pablo</v>
      </c>
    </row>
    <row r="710" spans="2:13">
      <c r="B710" s="50">
        <f t="shared" si="46"/>
        <v>45991</v>
      </c>
      <c r="C710">
        <v>3104105</v>
      </c>
      <c r="D710">
        <v>2650531</v>
      </c>
      <c r="E710" s="3">
        <v>511011</v>
      </c>
      <c r="F710" s="3">
        <v>-22050.06</v>
      </c>
      <c r="G710" s="3">
        <v>-20222.720535866985</v>
      </c>
      <c r="H710" s="10">
        <v>-1827.3394641330156</v>
      </c>
      <c r="I710" s="10">
        <f t="shared" si="48"/>
        <v>-1827.3394641330156</v>
      </c>
      <c r="J710" s="10">
        <f t="shared" si="47"/>
        <v>-1827.3394641330156</v>
      </c>
      <c r="K710">
        <v>30</v>
      </c>
      <c r="M710" t="str">
        <f>VLOOKUP(C710,Lookup!B:C,2,0)</f>
        <v>San Pablo</v>
      </c>
    </row>
    <row r="711" spans="2:13">
      <c r="B711" s="50">
        <f t="shared" si="46"/>
        <v>45991</v>
      </c>
      <c r="C711">
        <v>3104105</v>
      </c>
      <c r="D711">
        <v>2653142</v>
      </c>
      <c r="E711" s="3">
        <v>289558.40000000002</v>
      </c>
      <c r="F711" s="3">
        <v>27040.49</v>
      </c>
      <c r="G711" s="3">
        <v>24885.362264133018</v>
      </c>
      <c r="H711" s="10">
        <v>2155.1277358669845</v>
      </c>
      <c r="I711" s="10">
        <f t="shared" si="48"/>
        <v>2155.1277358669845</v>
      </c>
      <c r="J711" s="10">
        <f t="shared" si="47"/>
        <v>2155.1277358669845</v>
      </c>
      <c r="K711">
        <v>30</v>
      </c>
      <c r="M711" t="str">
        <f>VLOOKUP(C711,Lookup!B:C,2,0)</f>
        <v>San Pablo</v>
      </c>
    </row>
    <row r="712" spans="2:13">
      <c r="B712" s="50">
        <f t="shared" si="46"/>
        <v>45991</v>
      </c>
      <c r="C712">
        <v>3104105</v>
      </c>
      <c r="D712">
        <v>2653143</v>
      </c>
      <c r="E712" s="3">
        <v>238939.2</v>
      </c>
      <c r="F712" s="3">
        <v>24309.52</v>
      </c>
      <c r="G712" s="3">
        <v>22452.038664133015</v>
      </c>
      <c r="H712" s="10">
        <v>1857.4813358669846</v>
      </c>
      <c r="I712" s="10">
        <f t="shared" si="48"/>
        <v>1857.4813358669846</v>
      </c>
      <c r="J712" s="10">
        <f t="shared" si="47"/>
        <v>1857.4813358669846</v>
      </c>
      <c r="K712">
        <v>30</v>
      </c>
      <c r="M712" t="str">
        <f>VLOOKUP(C712,Lookup!B:C,2,0)</f>
        <v>San Pablo</v>
      </c>
    </row>
    <row r="713" spans="2:13">
      <c r="B713" s="50">
        <f t="shared" si="46"/>
        <v>45991</v>
      </c>
      <c r="C713">
        <v>3104105</v>
      </c>
      <c r="D713">
        <v>2653144</v>
      </c>
      <c r="E713" s="3">
        <v>281486.40000000002</v>
      </c>
      <c r="F713" s="3">
        <v>2296.2199999999998</v>
      </c>
      <c r="G713" s="3">
        <v>2208.2154641330153</v>
      </c>
      <c r="H713" s="10">
        <v>88.004535866984597</v>
      </c>
      <c r="I713" s="10">
        <f t="shared" si="48"/>
        <v>88.004535866984597</v>
      </c>
      <c r="J713" s="10">
        <f t="shared" si="47"/>
        <v>88.004535866984597</v>
      </c>
      <c r="K713">
        <v>30</v>
      </c>
      <c r="M713" t="str">
        <f>VLOOKUP(C713,Lookup!B:C,2,0)</f>
        <v>San Pablo</v>
      </c>
    </row>
    <row r="714" spans="2:13">
      <c r="B714" s="50">
        <f t="shared" si="46"/>
        <v>45991</v>
      </c>
      <c r="C714">
        <v>3104105</v>
      </c>
      <c r="D714">
        <v>2653145</v>
      </c>
      <c r="E714" s="3">
        <v>304968.8</v>
      </c>
      <c r="F714" s="3">
        <v>25119.599999999999</v>
      </c>
      <c r="G714" s="3">
        <v>23209.630664133016</v>
      </c>
      <c r="H714" s="10">
        <v>1909.9693358669847</v>
      </c>
      <c r="I714" s="10">
        <f t="shared" si="48"/>
        <v>1909.9693358669847</v>
      </c>
      <c r="J714" s="10">
        <f t="shared" si="47"/>
        <v>1909.9693358669847</v>
      </c>
      <c r="K714">
        <v>30</v>
      </c>
      <c r="M714" t="str">
        <f>VLOOKUP(C714,Lookup!B:C,2,0)</f>
        <v>San Pablo</v>
      </c>
    </row>
    <row r="715" spans="2:13">
      <c r="B715" s="50">
        <f t="shared" si="46"/>
        <v>45991</v>
      </c>
      <c r="C715">
        <v>3104105</v>
      </c>
      <c r="D715">
        <v>2653146</v>
      </c>
      <c r="E715" s="3">
        <v>260481.6</v>
      </c>
      <c r="F715" s="3">
        <v>24224.2</v>
      </c>
      <c r="G715" s="3">
        <v>22411.710664133017</v>
      </c>
      <c r="H715" s="10">
        <v>1812.4893358669847</v>
      </c>
      <c r="I715" s="10">
        <f t="shared" si="48"/>
        <v>1812.4893358669847</v>
      </c>
      <c r="J715" s="10">
        <f t="shared" si="47"/>
        <v>1812.4893358669847</v>
      </c>
      <c r="K715">
        <v>30</v>
      </c>
      <c r="M715" t="str">
        <f>VLOOKUP(C715,Lookup!B:C,2,0)</f>
        <v>San Pablo</v>
      </c>
    </row>
    <row r="716" spans="2:13">
      <c r="B716" s="50">
        <f t="shared" si="46"/>
        <v>45991</v>
      </c>
      <c r="C716">
        <v>3104105</v>
      </c>
      <c r="D716">
        <v>2653147</v>
      </c>
      <c r="E716" s="3">
        <v>237670.8</v>
      </c>
      <c r="F716" s="3">
        <v>15103.68</v>
      </c>
      <c r="G716" s="3">
        <v>13947.562664133016</v>
      </c>
      <c r="H716" s="10">
        <v>1156.1173358669846</v>
      </c>
      <c r="I716" s="10">
        <f t="shared" si="48"/>
        <v>1156.1173358669846</v>
      </c>
      <c r="J716" s="10">
        <f t="shared" si="47"/>
        <v>1156.1173358669846</v>
      </c>
      <c r="K716">
        <v>30</v>
      </c>
      <c r="M716" t="str">
        <f>VLOOKUP(C716,Lookup!B:C,2,0)</f>
        <v>San Pablo</v>
      </c>
    </row>
    <row r="717" spans="2:13">
      <c r="B717" s="50">
        <f t="shared" si="46"/>
        <v>45991</v>
      </c>
      <c r="C717">
        <v>3104105</v>
      </c>
      <c r="D717">
        <v>2653148</v>
      </c>
      <c r="E717" s="3">
        <v>308136</v>
      </c>
      <c r="F717" s="3">
        <v>37024.69</v>
      </c>
      <c r="G717" s="3">
        <v>34087.526264133019</v>
      </c>
      <c r="H717" s="10">
        <v>2937.163735866985</v>
      </c>
      <c r="I717" s="10">
        <f t="shared" si="48"/>
        <v>2937.163735866985</v>
      </c>
      <c r="J717" s="10">
        <f t="shared" si="47"/>
        <v>2937.163735866985</v>
      </c>
      <c r="K717">
        <v>30</v>
      </c>
      <c r="M717" t="str">
        <f>VLOOKUP(C717,Lookup!B:C,2,0)</f>
        <v>San Pablo</v>
      </c>
    </row>
    <row r="718" spans="2:13">
      <c r="B718" s="50">
        <f t="shared" si="46"/>
        <v>45991</v>
      </c>
      <c r="C718">
        <v>3104105</v>
      </c>
      <c r="D718">
        <v>2659418</v>
      </c>
      <c r="E718" s="3">
        <v>248095.84</v>
      </c>
      <c r="F718" s="3">
        <v>18615.02</v>
      </c>
      <c r="G718" s="3">
        <v>17237.457064133017</v>
      </c>
      <c r="H718" s="10">
        <v>1377.5629358669846</v>
      </c>
      <c r="I718" s="10">
        <f t="shared" si="48"/>
        <v>1377.5629358669846</v>
      </c>
      <c r="J718" s="10">
        <f t="shared" si="47"/>
        <v>1377.5629358669846</v>
      </c>
      <c r="K718">
        <v>27</v>
      </c>
      <c r="M718" t="str">
        <f>VLOOKUP(C718,Lookup!B:C,2,0)</f>
        <v>San Pablo</v>
      </c>
    </row>
    <row r="719" spans="2:13">
      <c r="B719" s="50">
        <f t="shared" si="46"/>
        <v>45991</v>
      </c>
      <c r="C719">
        <v>3104105</v>
      </c>
      <c r="D719">
        <v>2659419</v>
      </c>
      <c r="E719" s="3">
        <v>343143.16</v>
      </c>
      <c r="F719" s="3">
        <v>21670.59</v>
      </c>
      <c r="G719" s="3">
        <v>19994.743864133015</v>
      </c>
      <c r="H719" s="10">
        <v>1675.8461358669845</v>
      </c>
      <c r="I719" s="10">
        <f t="shared" si="48"/>
        <v>1675.8461358669845</v>
      </c>
      <c r="J719" s="10">
        <f t="shared" si="47"/>
        <v>1675.8461358669845</v>
      </c>
      <c r="K719">
        <v>27</v>
      </c>
      <c r="M719" t="str">
        <f>VLOOKUP(C719,Lookup!B:C,2,0)</f>
        <v>San Pablo</v>
      </c>
    </row>
    <row r="720" spans="2:13">
      <c r="B720" s="50">
        <f t="shared" si="46"/>
        <v>45991</v>
      </c>
      <c r="C720">
        <v>3104105</v>
      </c>
      <c r="D720">
        <v>2659420</v>
      </c>
      <c r="E720" s="3">
        <v>340763.16</v>
      </c>
      <c r="F720" s="3">
        <v>32209.69</v>
      </c>
      <c r="G720" s="3">
        <v>29745.984664133015</v>
      </c>
      <c r="H720" s="10">
        <v>2463.7053358669846</v>
      </c>
      <c r="I720" s="10">
        <f t="shared" si="48"/>
        <v>2463.7053358669846</v>
      </c>
      <c r="J720" s="10">
        <f t="shared" si="47"/>
        <v>2463.7053358669846</v>
      </c>
      <c r="K720">
        <v>27</v>
      </c>
      <c r="M720" t="str">
        <f>VLOOKUP(C720,Lookup!B:C,2,0)</f>
        <v>San Pablo</v>
      </c>
    </row>
    <row r="721" spans="2:13">
      <c r="B721" s="50">
        <f t="shared" si="46"/>
        <v>45991</v>
      </c>
      <c r="C721">
        <v>3104105</v>
      </c>
      <c r="D721">
        <v>2659421</v>
      </c>
      <c r="E721" s="3">
        <v>329891.36</v>
      </c>
      <c r="F721" s="3">
        <v>35587.449999999997</v>
      </c>
      <c r="G721" s="3">
        <v>32839.823064133016</v>
      </c>
      <c r="H721" s="10">
        <v>2747.6269358669842</v>
      </c>
      <c r="I721" s="10">
        <f t="shared" si="48"/>
        <v>2747.6269358669842</v>
      </c>
      <c r="J721" s="10">
        <f t="shared" si="47"/>
        <v>2747.6269358669842</v>
      </c>
      <c r="K721">
        <v>27</v>
      </c>
      <c r="M721" t="str">
        <f>VLOOKUP(C721,Lookup!B:C,2,0)</f>
        <v>San Pablo</v>
      </c>
    </row>
    <row r="722" spans="2:13">
      <c r="B722" s="50">
        <f t="shared" si="46"/>
        <v>45991</v>
      </c>
      <c r="C722">
        <v>3104105</v>
      </c>
      <c r="D722">
        <v>2659422</v>
      </c>
      <c r="E722" s="3">
        <v>353011.96</v>
      </c>
      <c r="F722" s="3">
        <v>34313.75</v>
      </c>
      <c r="G722" s="3">
        <v>31652.143864133017</v>
      </c>
      <c r="H722" s="10">
        <v>2661.6061358669849</v>
      </c>
      <c r="I722" s="10">
        <f t="shared" si="48"/>
        <v>2661.6061358669849</v>
      </c>
      <c r="J722" s="10">
        <f t="shared" si="47"/>
        <v>2661.6061358669849</v>
      </c>
      <c r="K722">
        <v>27</v>
      </c>
      <c r="M722" t="str">
        <f>VLOOKUP(C722,Lookup!B:C,2,0)</f>
        <v>San Pablo</v>
      </c>
    </row>
    <row r="723" spans="2:13">
      <c r="B723" s="50">
        <f t="shared" si="46"/>
        <v>45991</v>
      </c>
      <c r="C723">
        <v>3104105</v>
      </c>
      <c r="D723">
        <v>2660872</v>
      </c>
      <c r="E723" s="3">
        <v>265219</v>
      </c>
      <c r="F723" s="3">
        <v>22187.07</v>
      </c>
      <c r="G723" s="3">
        <v>20483.524664133016</v>
      </c>
      <c r="H723" s="10">
        <v>1703.5453358669847</v>
      </c>
      <c r="I723" s="10">
        <f t="shared" si="48"/>
        <v>1703.5453358669847</v>
      </c>
      <c r="J723" s="10">
        <f t="shared" si="47"/>
        <v>1703.5453358669847</v>
      </c>
      <c r="K723">
        <v>26</v>
      </c>
      <c r="M723" t="str">
        <f>VLOOKUP(C723,Lookup!B:C,2,0)</f>
        <v>San Pablo</v>
      </c>
    </row>
    <row r="724" spans="2:13">
      <c r="B724" s="50">
        <f t="shared" si="46"/>
        <v>45991</v>
      </c>
      <c r="C724">
        <v>3104105</v>
      </c>
      <c r="D724">
        <v>2660873</v>
      </c>
      <c r="E724" s="3">
        <v>671276</v>
      </c>
      <c r="F724" s="3">
        <v>54370.7</v>
      </c>
      <c r="G724" s="3">
        <v>50076.378664133015</v>
      </c>
      <c r="H724" s="10">
        <v>4294.3213358669846</v>
      </c>
      <c r="I724" s="10">
        <f t="shared" si="48"/>
        <v>4294.3213358669846</v>
      </c>
      <c r="J724" s="10">
        <f t="shared" si="47"/>
        <v>4294.3213358669846</v>
      </c>
      <c r="K724">
        <v>26</v>
      </c>
      <c r="M724" t="str">
        <f>VLOOKUP(C724,Lookup!B:C,2,0)</f>
        <v>San Pablo</v>
      </c>
    </row>
    <row r="725" spans="2:13">
      <c r="B725" s="50">
        <f t="shared" si="46"/>
        <v>45991</v>
      </c>
      <c r="C725">
        <v>3104105</v>
      </c>
      <c r="D725">
        <v>2660874</v>
      </c>
      <c r="E725" s="3">
        <v>398746</v>
      </c>
      <c r="F725" s="3">
        <v>11938</v>
      </c>
      <c r="G725" s="3">
        <v>11054.294664133016</v>
      </c>
      <c r="H725" s="10">
        <v>883.70533586698457</v>
      </c>
      <c r="I725" s="10">
        <f t="shared" si="48"/>
        <v>883.70533586698457</v>
      </c>
      <c r="J725" s="10">
        <f t="shared" si="47"/>
        <v>883.70533586698457</v>
      </c>
      <c r="K725">
        <v>26</v>
      </c>
      <c r="M725" t="str">
        <f>VLOOKUP(C725,Lookup!B:C,2,0)</f>
        <v>San Pablo</v>
      </c>
    </row>
    <row r="726" spans="2:13">
      <c r="B726" s="50">
        <f t="shared" si="46"/>
        <v>45991</v>
      </c>
      <c r="C726">
        <v>3104105</v>
      </c>
      <c r="D726">
        <v>2660875</v>
      </c>
      <c r="E726" s="3">
        <v>343187</v>
      </c>
      <c r="F726" s="3">
        <v>18403.2</v>
      </c>
      <c r="G726" s="3">
        <v>16986.694664133018</v>
      </c>
      <c r="H726" s="10">
        <v>1416.5053358669845</v>
      </c>
      <c r="I726" s="10">
        <f t="shared" si="48"/>
        <v>1416.5053358669845</v>
      </c>
      <c r="J726" s="10">
        <f t="shared" si="47"/>
        <v>1416.5053358669845</v>
      </c>
      <c r="K726">
        <v>26</v>
      </c>
      <c r="M726" t="str">
        <f>VLOOKUP(C726,Lookup!B:C,2,0)</f>
        <v>San Pablo</v>
      </c>
    </row>
    <row r="727" spans="2:13">
      <c r="B727" s="50">
        <f t="shared" si="46"/>
        <v>45991</v>
      </c>
      <c r="C727">
        <v>3104105</v>
      </c>
      <c r="D727">
        <v>2660876</v>
      </c>
      <c r="E727" s="3">
        <v>389995</v>
      </c>
      <c r="F727" s="3">
        <v>38407.78</v>
      </c>
      <c r="G727" s="3">
        <v>35394.892264133014</v>
      </c>
      <c r="H727" s="10">
        <v>3012.8877358669847</v>
      </c>
      <c r="I727" s="10">
        <f t="shared" si="48"/>
        <v>3012.8877358669847</v>
      </c>
      <c r="J727" s="10">
        <f t="shared" si="47"/>
        <v>3012.8877358669847</v>
      </c>
      <c r="K727">
        <v>26</v>
      </c>
      <c r="M727" t="str">
        <f>VLOOKUP(C727,Lookup!B:C,2,0)</f>
        <v>San Pablo</v>
      </c>
    </row>
    <row r="728" spans="2:13">
      <c r="B728" s="50">
        <f t="shared" si="46"/>
        <v>45991</v>
      </c>
      <c r="C728">
        <v>3104105</v>
      </c>
      <c r="D728">
        <v>2660877</v>
      </c>
      <c r="E728" s="3">
        <v>262289.08</v>
      </c>
      <c r="F728" s="3">
        <v>31975.5</v>
      </c>
      <c r="G728" s="3">
        <v>29472.794664133016</v>
      </c>
      <c r="H728" s="10">
        <v>2502.7053358669846</v>
      </c>
      <c r="I728" s="10">
        <f t="shared" si="48"/>
        <v>2502.7053358669846</v>
      </c>
      <c r="J728" s="10">
        <f t="shared" si="47"/>
        <v>2502.7053358669846</v>
      </c>
      <c r="K728">
        <v>27</v>
      </c>
      <c r="M728" t="str">
        <f>VLOOKUP(C728,Lookup!B:C,2,0)</f>
        <v>San Pablo</v>
      </c>
    </row>
    <row r="729" spans="2:13">
      <c r="B729" s="50">
        <f t="shared" si="46"/>
        <v>45991</v>
      </c>
      <c r="C729">
        <v>3104105</v>
      </c>
      <c r="D729">
        <v>2660878</v>
      </c>
      <c r="E729" s="3">
        <v>179916.79999999999</v>
      </c>
      <c r="F729" s="3">
        <v>23566.73</v>
      </c>
      <c r="G729" s="3">
        <v>21736.726264133016</v>
      </c>
      <c r="H729" s="10">
        <v>1830.0037358669847</v>
      </c>
      <c r="I729" s="10">
        <f t="shared" si="48"/>
        <v>1830.0037358669847</v>
      </c>
      <c r="J729" s="10">
        <f t="shared" si="47"/>
        <v>1830.0037358669847</v>
      </c>
      <c r="K729">
        <v>27</v>
      </c>
      <c r="M729" t="str">
        <f>VLOOKUP(C729,Lookup!B:C,2,0)</f>
        <v>San Pablo</v>
      </c>
    </row>
    <row r="730" spans="2:13">
      <c r="B730" s="50">
        <f t="shared" si="46"/>
        <v>45991</v>
      </c>
      <c r="C730">
        <v>3104105</v>
      </c>
      <c r="D730">
        <v>2660879</v>
      </c>
      <c r="E730" s="3">
        <v>142558.12</v>
      </c>
      <c r="F730" s="3">
        <v>5936.09</v>
      </c>
      <c r="G730" s="3">
        <v>5518.3102641330152</v>
      </c>
      <c r="H730" s="10">
        <v>417.77973586698465</v>
      </c>
      <c r="I730" s="10">
        <f t="shared" si="48"/>
        <v>417.77973586698465</v>
      </c>
      <c r="J730" s="10">
        <f t="shared" si="47"/>
        <v>417.77973586698465</v>
      </c>
      <c r="K730">
        <v>27</v>
      </c>
      <c r="M730" t="str">
        <f>VLOOKUP(C730,Lookup!B:C,2,0)</f>
        <v>San Pablo</v>
      </c>
    </row>
    <row r="731" spans="2:13">
      <c r="B731" s="50">
        <f t="shared" si="46"/>
        <v>45991</v>
      </c>
      <c r="C731">
        <v>3104105</v>
      </c>
      <c r="D731">
        <v>2660880</v>
      </c>
      <c r="E731" s="3">
        <v>201258.16</v>
      </c>
      <c r="F731" s="3">
        <v>22971.65</v>
      </c>
      <c r="G731" s="3">
        <v>21189.252664133015</v>
      </c>
      <c r="H731" s="10">
        <v>1782.3973358669848</v>
      </c>
      <c r="I731" s="10">
        <f t="shared" si="48"/>
        <v>1782.3973358669848</v>
      </c>
      <c r="J731" s="10">
        <f t="shared" si="47"/>
        <v>1782.3973358669848</v>
      </c>
      <c r="K731">
        <v>27</v>
      </c>
      <c r="M731" t="str">
        <f>VLOOKUP(C731,Lookup!B:C,2,0)</f>
        <v>San Pablo</v>
      </c>
    </row>
    <row r="732" spans="2:13">
      <c r="B732" s="50">
        <f t="shared" si="46"/>
        <v>45991</v>
      </c>
      <c r="C732">
        <v>3104105</v>
      </c>
      <c r="D732">
        <v>2660881</v>
      </c>
      <c r="E732" s="3">
        <v>333347.20000000001</v>
      </c>
      <c r="F732" s="3">
        <v>34129.56</v>
      </c>
      <c r="G732" s="3">
        <v>31462.529864133012</v>
      </c>
      <c r="H732" s="10">
        <v>2667.0301358669844</v>
      </c>
      <c r="I732" s="10">
        <f t="shared" si="48"/>
        <v>2667.0301358669844</v>
      </c>
      <c r="J732" s="10">
        <f t="shared" si="47"/>
        <v>2667.0301358669844</v>
      </c>
      <c r="K732">
        <v>27</v>
      </c>
      <c r="M732" t="str">
        <f>VLOOKUP(C732,Lookup!B:C,2,0)</f>
        <v>San Pablo</v>
      </c>
    </row>
    <row r="733" spans="2:13">
      <c r="B733" s="50">
        <f t="shared" si="46"/>
        <v>45991</v>
      </c>
      <c r="C733">
        <v>3104105</v>
      </c>
      <c r="D733">
        <v>2660882</v>
      </c>
      <c r="E733" s="3">
        <v>621602</v>
      </c>
      <c r="F733" s="3">
        <v>40729.199999999997</v>
      </c>
      <c r="G733" s="3">
        <v>37541.17466413301</v>
      </c>
      <c r="H733" s="10">
        <v>3188.0253358669847</v>
      </c>
      <c r="I733" s="10">
        <f t="shared" si="48"/>
        <v>3188.0253358669847</v>
      </c>
      <c r="J733" s="10">
        <f t="shared" si="47"/>
        <v>3188.0253358669847</v>
      </c>
      <c r="K733">
        <v>26</v>
      </c>
      <c r="M733" t="str">
        <f>VLOOKUP(C733,Lookup!B:C,2,0)</f>
        <v>San Pablo</v>
      </c>
    </row>
    <row r="734" spans="2:13">
      <c r="B734" s="2"/>
      <c r="E734" s="3"/>
      <c r="F734" s="3"/>
      <c r="G734" s="3"/>
      <c r="H734" s="10"/>
      <c r="I734" s="10"/>
      <c r="J734" s="10"/>
    </row>
    <row r="735" spans="2:13">
      <c r="B735" s="2"/>
      <c r="E735" s="3"/>
      <c r="F735" s="3"/>
      <c r="G735" s="3"/>
      <c r="H735" s="10"/>
      <c r="I735" s="10"/>
      <c r="J735" s="10"/>
    </row>
    <row r="736" spans="2:13">
      <c r="B736" s="2"/>
      <c r="E736" s="3"/>
      <c r="F736" s="3"/>
      <c r="G736" s="3"/>
      <c r="H736" s="10"/>
      <c r="I736" s="10"/>
      <c r="J736" s="10"/>
    </row>
    <row r="737" spans="2:10">
      <c r="B737" s="2"/>
      <c r="E737" s="3"/>
      <c r="F737" s="3"/>
      <c r="G737" s="3"/>
      <c r="H737" s="10"/>
      <c r="I737" s="10"/>
      <c r="J737" s="10"/>
    </row>
    <row r="738" spans="2:10">
      <c r="B738" s="2"/>
      <c r="E738" s="3"/>
      <c r="F738" s="3"/>
      <c r="G738" s="3"/>
      <c r="H738" s="10"/>
      <c r="I738" s="10"/>
      <c r="J738" s="10"/>
    </row>
    <row r="739" spans="2:10">
      <c r="B739" s="2"/>
      <c r="E739" s="3"/>
      <c r="F739" s="3"/>
      <c r="G739" s="3"/>
      <c r="H739" s="10"/>
      <c r="I739" s="10"/>
      <c r="J739" s="10"/>
    </row>
    <row r="740" spans="2:10">
      <c r="B740" s="2"/>
      <c r="E740" s="3"/>
      <c r="F740" s="3"/>
      <c r="G740" s="3"/>
      <c r="H740" s="10"/>
      <c r="I740" s="10"/>
      <c r="J740" s="10"/>
    </row>
    <row r="741" spans="2:10">
      <c r="B741" s="2"/>
      <c r="E741" s="3"/>
      <c r="F741" s="3"/>
      <c r="G741" s="3"/>
      <c r="H741" s="10"/>
      <c r="I741" s="10"/>
      <c r="J741" s="10"/>
    </row>
    <row r="742" spans="2:10">
      <c r="B742" s="2"/>
      <c r="E742" s="3"/>
      <c r="F742" s="3"/>
      <c r="G742" s="3"/>
      <c r="H742" s="10"/>
      <c r="I742" s="10"/>
      <c r="J742" s="10"/>
    </row>
    <row r="743" spans="2:10">
      <c r="B743" s="2"/>
      <c r="E743" s="3"/>
      <c r="F743" s="3"/>
      <c r="G743" s="3"/>
      <c r="H743" s="10"/>
      <c r="I743" s="10"/>
      <c r="J743" s="10"/>
    </row>
    <row r="744" spans="2:10">
      <c r="B744" s="2"/>
      <c r="E744" s="3"/>
      <c r="F744" s="3"/>
      <c r="G744" s="3"/>
      <c r="H744" s="10"/>
      <c r="I744" s="10"/>
      <c r="J744" s="10"/>
    </row>
    <row r="745" spans="2:10">
      <c r="B745" s="2"/>
      <c r="E745" s="3"/>
      <c r="F745" s="3"/>
      <c r="G745" s="3"/>
      <c r="H745" s="10"/>
      <c r="I745" s="10"/>
      <c r="J745" s="10"/>
    </row>
    <row r="746" spans="2:10">
      <c r="B746" s="2"/>
      <c r="E746" s="3"/>
      <c r="F746" s="3"/>
      <c r="G746" s="3"/>
      <c r="H746" s="10"/>
      <c r="I746" s="10"/>
      <c r="J746" s="10"/>
    </row>
    <row r="747" spans="2:10">
      <c r="B747" s="2"/>
      <c r="E747" s="3"/>
      <c r="F747" s="3"/>
      <c r="G747" s="3"/>
      <c r="H747" s="10"/>
      <c r="I747" s="10"/>
      <c r="J747" s="10"/>
    </row>
    <row r="748" spans="2:10">
      <c r="B748" s="2"/>
      <c r="E748" s="3"/>
      <c r="F748" s="3"/>
      <c r="G748" s="3"/>
      <c r="H748" s="10"/>
      <c r="I748" s="10"/>
      <c r="J748" s="10"/>
    </row>
    <row r="749" spans="2:10">
      <c r="B749" s="2"/>
      <c r="E749" s="3"/>
      <c r="F749" s="3"/>
      <c r="G749" s="3"/>
      <c r="H749" s="10"/>
      <c r="I749" s="10"/>
      <c r="J749" s="10"/>
    </row>
    <row r="750" spans="2:10">
      <c r="B750" s="2"/>
      <c r="E750" s="3"/>
      <c r="F750" s="3"/>
      <c r="G750" s="3"/>
      <c r="H750" s="10"/>
      <c r="I750" s="10"/>
      <c r="J750" s="10"/>
    </row>
    <row r="751" spans="2:10">
      <c r="B751" s="2"/>
      <c r="E751" s="3"/>
      <c r="F751" s="3"/>
      <c r="G751" s="3"/>
      <c r="H751" s="10"/>
      <c r="I751" s="10"/>
      <c r="J751" s="10"/>
    </row>
    <row r="752" spans="2:10">
      <c r="B752" s="2"/>
      <c r="E752" s="3"/>
      <c r="F752" s="3"/>
      <c r="G752" s="3"/>
      <c r="H752" s="10"/>
      <c r="I752" s="10"/>
      <c r="J752" s="10"/>
    </row>
    <row r="753" spans="2:10">
      <c r="B753" s="2"/>
      <c r="E753" s="3"/>
      <c r="F753" s="3"/>
      <c r="G753" s="3"/>
      <c r="H753" s="10"/>
      <c r="I753" s="10"/>
      <c r="J753" s="10"/>
    </row>
    <row r="754" spans="2:10">
      <c r="B754" s="2"/>
      <c r="E754" s="3"/>
      <c r="F754" s="3"/>
      <c r="G754" s="3"/>
      <c r="H754" s="10"/>
      <c r="I754" s="10"/>
      <c r="J754" s="10"/>
    </row>
    <row r="755" spans="2:10">
      <c r="B755" s="2"/>
      <c r="E755" s="3"/>
      <c r="F755" s="3"/>
      <c r="G755" s="3"/>
      <c r="H755" s="10"/>
      <c r="I755" s="10"/>
      <c r="J755" s="10"/>
    </row>
    <row r="756" spans="2:10">
      <c r="B756" s="2"/>
      <c r="E756" s="3"/>
      <c r="F756" s="3"/>
      <c r="G756" s="3"/>
      <c r="H756" s="10"/>
      <c r="I756" s="10"/>
      <c r="J756" s="10"/>
    </row>
    <row r="757" spans="2:10">
      <c r="B757" s="2"/>
      <c r="E757" s="3"/>
      <c r="F757" s="3"/>
      <c r="G757" s="3"/>
      <c r="H757" s="10"/>
      <c r="I757" s="10"/>
      <c r="J757" s="10"/>
    </row>
    <row r="758" spans="2:10">
      <c r="B758" s="2"/>
      <c r="E758" s="3"/>
      <c r="F758" s="3"/>
      <c r="G758" s="3"/>
      <c r="H758" s="10"/>
      <c r="I758" s="10"/>
      <c r="J758" s="10"/>
    </row>
    <row r="759" spans="2:10">
      <c r="B759" s="2"/>
      <c r="E759" s="3"/>
      <c r="F759" s="3"/>
      <c r="G759" s="3"/>
      <c r="H759" s="10"/>
      <c r="I759" s="10"/>
      <c r="J759" s="10"/>
    </row>
    <row r="760" spans="2:10">
      <c r="B760" s="2"/>
      <c r="E760" s="3"/>
      <c r="F760" s="3"/>
      <c r="G760" s="3"/>
      <c r="H760" s="10"/>
      <c r="I760" s="10"/>
      <c r="J760" s="10"/>
    </row>
    <row r="761" spans="2:10">
      <c r="B761" s="2"/>
      <c r="E761" s="3"/>
      <c r="F761" s="3"/>
      <c r="G761" s="3"/>
      <c r="H761" s="10"/>
      <c r="I761" s="10"/>
      <c r="J761" s="10"/>
    </row>
    <row r="762" spans="2:10">
      <c r="B762" s="2"/>
      <c r="E762" s="3"/>
      <c r="F762" s="3"/>
      <c r="G762" s="3"/>
      <c r="H762" s="10"/>
      <c r="I762" s="10"/>
      <c r="J762" s="10"/>
    </row>
    <row r="763" spans="2:10">
      <c r="B763" s="2"/>
      <c r="E763" s="3"/>
      <c r="F763" s="3"/>
      <c r="G763" s="3"/>
      <c r="H763" s="10"/>
      <c r="I763" s="10"/>
      <c r="J763" s="10"/>
    </row>
    <row r="764" spans="2:10">
      <c r="B764" s="2"/>
      <c r="E764" s="3"/>
      <c r="F764" s="3"/>
      <c r="G764" s="3"/>
      <c r="H764" s="10"/>
      <c r="I764" s="10"/>
      <c r="J764" s="10"/>
    </row>
    <row r="765" spans="2:10">
      <c r="B765" s="2"/>
      <c r="E765" s="3"/>
      <c r="F765" s="3"/>
      <c r="G765" s="3"/>
      <c r="H765" s="10"/>
      <c r="I765" s="10"/>
      <c r="J765" s="10"/>
    </row>
    <row r="766" spans="2:10">
      <c r="B766" s="2"/>
      <c r="E766" s="3"/>
      <c r="F766" s="3"/>
      <c r="G766" s="3"/>
      <c r="H766" s="10"/>
      <c r="I766" s="10"/>
      <c r="J766" s="10"/>
    </row>
    <row r="767" spans="2:10">
      <c r="B767" s="2"/>
      <c r="E767" s="3"/>
      <c r="F767" s="3"/>
      <c r="G767" s="3"/>
      <c r="H767" s="10"/>
      <c r="I767" s="10"/>
      <c r="J767" s="10"/>
    </row>
    <row r="768" spans="2:10">
      <c r="B768" s="2"/>
      <c r="E768" s="3"/>
      <c r="F768" s="3"/>
      <c r="G768" s="3"/>
      <c r="H768" s="10"/>
      <c r="I768" s="10"/>
      <c r="J768" s="10"/>
    </row>
    <row r="769" spans="2:10">
      <c r="B769" s="2"/>
      <c r="E769" s="3"/>
      <c r="F769" s="3"/>
      <c r="G769" s="3"/>
      <c r="H769" s="10"/>
      <c r="I769" s="10"/>
      <c r="J769" s="10"/>
    </row>
    <row r="770" spans="2:10">
      <c r="B770" s="2"/>
      <c r="E770" s="3"/>
      <c r="F770" s="3"/>
      <c r="G770" s="3"/>
      <c r="H770" s="10"/>
      <c r="I770" s="10"/>
      <c r="J770" s="10"/>
    </row>
    <row r="771" spans="2:10">
      <c r="B771" s="2"/>
      <c r="E771" s="3"/>
      <c r="F771" s="3"/>
      <c r="G771" s="3"/>
      <c r="H771" s="10"/>
      <c r="I771" s="10"/>
      <c r="J771" s="10"/>
    </row>
    <row r="772" spans="2:10">
      <c r="B772" s="2"/>
      <c r="E772" s="3"/>
      <c r="F772" s="3"/>
      <c r="G772" s="3"/>
      <c r="H772" s="10"/>
      <c r="I772" s="10"/>
      <c r="J772" s="10"/>
    </row>
    <row r="773" spans="2:10">
      <c r="B773" s="2"/>
      <c r="E773" s="3"/>
      <c r="F773" s="3"/>
      <c r="G773" s="3"/>
      <c r="H773" s="10"/>
      <c r="I773" s="10"/>
      <c r="J773" s="10"/>
    </row>
    <row r="774" spans="2:10">
      <c r="B774" s="2"/>
      <c r="E774" s="3"/>
      <c r="F774" s="3"/>
      <c r="G774" s="3"/>
      <c r="H774" s="10"/>
      <c r="I774" s="10"/>
      <c r="J774" s="10"/>
    </row>
    <row r="775" spans="2:10">
      <c r="B775" s="2"/>
      <c r="E775" s="3"/>
      <c r="F775" s="3"/>
      <c r="G775" s="3"/>
      <c r="H775" s="10"/>
      <c r="I775" s="10"/>
      <c r="J775" s="10"/>
    </row>
    <row r="776" spans="2:10">
      <c r="B776" s="2"/>
      <c r="E776" s="3"/>
      <c r="F776" s="3"/>
      <c r="G776" s="3"/>
      <c r="H776" s="10"/>
      <c r="I776" s="10"/>
      <c r="J776" s="10"/>
    </row>
    <row r="777" spans="2:10">
      <c r="B777" s="2"/>
      <c r="E777" s="3"/>
      <c r="F777" s="3"/>
      <c r="G777" s="3"/>
      <c r="H777" s="10"/>
      <c r="I777" s="10"/>
      <c r="J777" s="10"/>
    </row>
    <row r="778" spans="2:10">
      <c r="B778" s="2"/>
      <c r="E778" s="3"/>
      <c r="F778" s="3"/>
      <c r="G778" s="3"/>
      <c r="H778" s="10"/>
      <c r="I778" s="10"/>
      <c r="J778" s="10"/>
    </row>
    <row r="779" spans="2:10">
      <c r="B779" s="2"/>
      <c r="E779" s="3"/>
      <c r="F779" s="3"/>
      <c r="G779" s="3"/>
      <c r="H779" s="10"/>
      <c r="I779" s="10"/>
      <c r="J779" s="10"/>
    </row>
    <row r="780" spans="2:10">
      <c r="B780" s="2"/>
      <c r="E780" s="3"/>
      <c r="F780" s="3"/>
      <c r="G780" s="3"/>
      <c r="H780" s="10"/>
      <c r="I780" s="10"/>
      <c r="J780" s="10"/>
    </row>
    <row r="781" spans="2:10">
      <c r="B781" s="2"/>
      <c r="E781" s="3"/>
      <c r="F781" s="3"/>
      <c r="G781" s="3"/>
      <c r="H781" s="10"/>
      <c r="I781" s="10"/>
      <c r="J781" s="10"/>
    </row>
    <row r="782" spans="2:10">
      <c r="B782" s="2"/>
      <c r="E782" s="3"/>
      <c r="F782" s="3"/>
      <c r="G782" s="3"/>
      <c r="H782" s="10"/>
      <c r="I782" s="10"/>
      <c r="J782" s="10"/>
    </row>
    <row r="783" spans="2:10">
      <c r="B783" s="2"/>
      <c r="E783" s="3"/>
      <c r="F783" s="3"/>
      <c r="G783" s="3"/>
      <c r="H783" s="10"/>
      <c r="I783" s="10"/>
      <c r="J783" s="10"/>
    </row>
    <row r="784" spans="2:10">
      <c r="B784" s="2"/>
      <c r="E784" s="3"/>
      <c r="F784" s="3"/>
      <c r="G784" s="3"/>
      <c r="H784" s="10"/>
      <c r="I784" s="10"/>
      <c r="J784" s="10"/>
    </row>
    <row r="785" spans="2:10">
      <c r="B785" s="2"/>
      <c r="E785" s="3"/>
      <c r="F785" s="3"/>
      <c r="G785" s="3"/>
      <c r="H785" s="10"/>
      <c r="I785" s="10"/>
      <c r="J785" s="10"/>
    </row>
    <row r="786" spans="2:10">
      <c r="B786" s="2"/>
      <c r="E786" s="3"/>
      <c r="F786" s="3"/>
      <c r="G786" s="3"/>
      <c r="H786" s="10"/>
      <c r="I786" s="10"/>
      <c r="J786" s="10"/>
    </row>
    <row r="787" spans="2:10">
      <c r="B787" s="2"/>
      <c r="E787" s="3"/>
      <c r="F787" s="3"/>
      <c r="G787" s="3"/>
      <c r="H787" s="10"/>
      <c r="I787" s="10"/>
      <c r="J787" s="10"/>
    </row>
    <row r="788" spans="2:10">
      <c r="B788" s="2"/>
      <c r="E788" s="3"/>
      <c r="F788" s="3"/>
      <c r="G788" s="3"/>
      <c r="H788" s="10"/>
      <c r="I788" s="10"/>
      <c r="J788" s="10"/>
    </row>
    <row r="789" spans="2:10">
      <c r="B789" s="2"/>
      <c r="E789" s="3"/>
      <c r="F789" s="3"/>
      <c r="G789" s="3"/>
      <c r="H789" s="10"/>
      <c r="I789" s="10"/>
      <c r="J789" s="10"/>
    </row>
    <row r="790" spans="2:10">
      <c r="B790" s="2"/>
      <c r="E790" s="3"/>
      <c r="F790" s="3"/>
      <c r="G790" s="3"/>
      <c r="H790" s="10"/>
      <c r="I790" s="10"/>
      <c r="J790" s="10"/>
    </row>
    <row r="791" spans="2:10">
      <c r="B791" s="2"/>
      <c r="E791" s="3"/>
      <c r="F791" s="3"/>
      <c r="G791" s="3"/>
      <c r="H791" s="10"/>
      <c r="I791" s="10"/>
      <c r="J791" s="10"/>
    </row>
    <row r="792" spans="2:10">
      <c r="B792" s="2"/>
      <c r="E792" s="3"/>
      <c r="F792" s="3"/>
      <c r="G792" s="3"/>
      <c r="H792" s="10"/>
      <c r="I792" s="10"/>
      <c r="J792" s="10"/>
    </row>
    <row r="793" spans="2:10">
      <c r="B793" s="2"/>
      <c r="E793" s="3"/>
      <c r="F793" s="3"/>
      <c r="G793" s="3"/>
      <c r="H793" s="10"/>
      <c r="I793" s="10"/>
      <c r="J793" s="10"/>
    </row>
    <row r="794" spans="2:10">
      <c r="B794" s="2"/>
      <c r="E794" s="3"/>
      <c r="F794" s="3"/>
      <c r="G794" s="3"/>
      <c r="H794" s="10"/>
      <c r="I794" s="10"/>
      <c r="J794" s="10"/>
    </row>
    <row r="795" spans="2:10">
      <c r="B795" s="2"/>
      <c r="E795" s="3"/>
      <c r="F795" s="3"/>
      <c r="G795" s="3"/>
      <c r="H795" s="10"/>
      <c r="I795" s="10"/>
      <c r="J795" s="10"/>
    </row>
    <row r="796" spans="2:10">
      <c r="B796" s="2"/>
      <c r="E796" s="3"/>
      <c r="F796" s="3"/>
      <c r="G796" s="3"/>
      <c r="H796" s="10"/>
      <c r="I796" s="10"/>
      <c r="J796" s="10"/>
    </row>
    <row r="797" spans="2:10">
      <c r="B797" s="2"/>
      <c r="E797" s="3"/>
      <c r="F797" s="3"/>
      <c r="G797" s="3"/>
      <c r="H797" s="10"/>
      <c r="I797" s="10"/>
      <c r="J797" s="10"/>
    </row>
    <row r="798" spans="2:10">
      <c r="B798" s="2"/>
      <c r="E798" s="3"/>
      <c r="F798" s="3"/>
      <c r="G798" s="3"/>
      <c r="H798" s="10"/>
      <c r="I798" s="10"/>
      <c r="J798" s="10"/>
    </row>
    <row r="799" spans="2:10">
      <c r="B799" s="2"/>
      <c r="E799" s="3"/>
      <c r="F799" s="3"/>
      <c r="G799" s="3"/>
      <c r="H799" s="10"/>
      <c r="I799" s="10"/>
      <c r="J799" s="10"/>
    </row>
    <row r="800" spans="2:10">
      <c r="B800" s="2"/>
      <c r="E800" s="3"/>
      <c r="F800" s="3"/>
      <c r="G800" s="3"/>
      <c r="H800" s="10"/>
      <c r="I800" s="10"/>
      <c r="J800" s="10"/>
    </row>
    <row r="801" spans="2:10">
      <c r="B801" s="2"/>
      <c r="E801" s="3"/>
      <c r="F801" s="3"/>
      <c r="G801" s="3"/>
      <c r="H801" s="10"/>
      <c r="I801" s="10"/>
      <c r="J801" s="10"/>
    </row>
    <row r="802" spans="2:10">
      <c r="B802" s="2"/>
      <c r="E802" s="3"/>
      <c r="F802" s="3"/>
      <c r="G802" s="3"/>
      <c r="H802" s="10"/>
      <c r="I802" s="10"/>
      <c r="J802" s="10"/>
    </row>
    <row r="803" spans="2:10">
      <c r="B803" s="2"/>
      <c r="E803" s="3"/>
      <c r="F803" s="3"/>
      <c r="G803" s="3"/>
      <c r="H803" s="10"/>
      <c r="I803" s="10"/>
      <c r="J803" s="10"/>
    </row>
    <row r="804" spans="2:10">
      <c r="B804" s="2"/>
      <c r="E804" s="3"/>
      <c r="F804" s="3"/>
      <c r="G804" s="3"/>
      <c r="H804" s="10"/>
      <c r="I804" s="10"/>
      <c r="J804" s="10"/>
    </row>
    <row r="805" spans="2:10">
      <c r="B805" s="2"/>
      <c r="E805" s="3"/>
      <c r="F805" s="3"/>
      <c r="G805" s="3"/>
      <c r="H805" s="10"/>
      <c r="I805" s="10"/>
      <c r="J805" s="10"/>
    </row>
    <row r="806" spans="2:10">
      <c r="B806" s="2"/>
      <c r="E806" s="3"/>
      <c r="F806" s="3"/>
      <c r="G806" s="3"/>
      <c r="H806" s="10"/>
      <c r="I806" s="10"/>
      <c r="J806" s="10"/>
    </row>
    <row r="807" spans="2:10">
      <c r="B807" s="2"/>
      <c r="E807" s="3"/>
      <c r="F807" s="3"/>
      <c r="G807" s="3"/>
      <c r="H807" s="10"/>
      <c r="I807" s="10"/>
      <c r="J807" s="10"/>
    </row>
    <row r="808" spans="2:10">
      <c r="B808" s="2"/>
      <c r="E808" s="3"/>
      <c r="F808" s="3"/>
      <c r="G808" s="3"/>
      <c r="H808" s="10"/>
      <c r="I808" s="10"/>
      <c r="J808" s="10"/>
    </row>
    <row r="809" spans="2:10">
      <c r="B809" s="2"/>
      <c r="E809" s="3"/>
      <c r="F809" s="3"/>
      <c r="G809" s="3"/>
      <c r="H809" s="10"/>
      <c r="I809" s="10"/>
      <c r="J809" s="10"/>
    </row>
    <row r="810" spans="2:10">
      <c r="B810" s="2"/>
      <c r="E810" s="3"/>
      <c r="F810" s="3"/>
      <c r="G810" s="3"/>
      <c r="H810" s="10"/>
      <c r="I810" s="10"/>
      <c r="J810" s="10"/>
    </row>
    <row r="811" spans="2:10">
      <c r="B811" s="2"/>
      <c r="E811" s="3"/>
      <c r="F811" s="3"/>
      <c r="G811" s="3"/>
      <c r="H811" s="10"/>
      <c r="I811" s="10"/>
      <c r="J811" s="10"/>
    </row>
    <row r="812" spans="2:10">
      <c r="B812" s="2"/>
      <c r="E812" s="3"/>
      <c r="F812" s="3"/>
      <c r="G812" s="3"/>
      <c r="H812" s="10"/>
      <c r="I812" s="10"/>
      <c r="J812" s="10"/>
    </row>
    <row r="813" spans="2:10">
      <c r="B813" s="2"/>
      <c r="E813" s="3"/>
      <c r="F813" s="3"/>
      <c r="G813" s="3"/>
      <c r="H813" s="10"/>
      <c r="I813" s="10"/>
      <c r="J813" s="10"/>
    </row>
    <row r="814" spans="2:10">
      <c r="B814" s="2"/>
      <c r="E814" s="3"/>
      <c r="F814" s="3"/>
      <c r="G814" s="3"/>
      <c r="H814" s="10"/>
      <c r="I814" s="10"/>
      <c r="J814" s="10"/>
    </row>
    <row r="815" spans="2:10">
      <c r="B815" s="2"/>
      <c r="E815" s="3"/>
      <c r="F815" s="3"/>
      <c r="G815" s="3"/>
      <c r="H815" s="10"/>
      <c r="I815" s="10"/>
      <c r="J815" s="10"/>
    </row>
    <row r="816" spans="2:10">
      <c r="B816" s="2"/>
      <c r="E816" s="3"/>
      <c r="F816" s="3"/>
      <c r="G816" s="3"/>
      <c r="H816" s="10"/>
      <c r="I816" s="10"/>
      <c r="J816" s="10"/>
    </row>
    <row r="817" spans="2:10">
      <c r="B817" s="2"/>
      <c r="E817" s="3"/>
      <c r="F817" s="3"/>
      <c r="G817" s="3"/>
      <c r="H817" s="10"/>
      <c r="I817" s="10"/>
      <c r="J817" s="10"/>
    </row>
    <row r="818" spans="2:10">
      <c r="B818" s="2"/>
      <c r="E818" s="3"/>
      <c r="F818" s="3"/>
      <c r="G818" s="3"/>
      <c r="H818" s="10"/>
      <c r="I818" s="10"/>
      <c r="J818" s="10"/>
    </row>
    <row r="819" spans="2:10">
      <c r="B819" s="2"/>
      <c r="E819" s="3"/>
      <c r="F819" s="3"/>
      <c r="G819" s="3"/>
      <c r="H819" s="10"/>
      <c r="I819" s="10"/>
      <c r="J819" s="10"/>
    </row>
    <row r="820" spans="2:10">
      <c r="B820" s="2"/>
      <c r="E820" s="3"/>
      <c r="F820" s="3"/>
      <c r="G820" s="3"/>
      <c r="H820" s="10"/>
      <c r="I820" s="10"/>
      <c r="J820" s="10"/>
    </row>
    <row r="821" spans="2:10">
      <c r="B821" s="2"/>
      <c r="E821" s="3"/>
      <c r="F821" s="3"/>
      <c r="G821" s="3"/>
      <c r="H821" s="10"/>
      <c r="I821" s="10"/>
      <c r="J821" s="10"/>
    </row>
    <row r="822" spans="2:10">
      <c r="B822" s="2"/>
      <c r="E822" s="3"/>
      <c r="F822" s="3"/>
      <c r="G822" s="3"/>
      <c r="H822" s="10"/>
      <c r="I822" s="10"/>
      <c r="J822" s="10"/>
    </row>
    <row r="823" spans="2:10">
      <c r="B823" s="2"/>
      <c r="E823" s="3"/>
      <c r="F823" s="3"/>
      <c r="G823" s="3"/>
      <c r="H823" s="10"/>
      <c r="I823" s="10"/>
      <c r="J823" s="10"/>
    </row>
    <row r="824" spans="2:10">
      <c r="B824" s="2"/>
      <c r="E824" s="3"/>
      <c r="F824" s="3"/>
      <c r="G824" s="3"/>
      <c r="H824" s="10"/>
      <c r="I824" s="10"/>
      <c r="J824" s="10"/>
    </row>
    <row r="825" spans="2:10">
      <c r="B825" s="2"/>
      <c r="E825" s="3"/>
      <c r="F825" s="3"/>
      <c r="G825" s="3"/>
      <c r="H825" s="10"/>
      <c r="I825" s="10"/>
      <c r="J825" s="10"/>
    </row>
    <row r="826" spans="2:10">
      <c r="B826" s="2"/>
      <c r="E826" s="3"/>
      <c r="F826" s="3"/>
      <c r="G826" s="3"/>
      <c r="H826" s="10"/>
      <c r="I826" s="10"/>
      <c r="J826" s="10"/>
    </row>
    <row r="827" spans="2:10">
      <c r="B827" s="2"/>
      <c r="E827" s="3"/>
      <c r="F827" s="3"/>
      <c r="G827" s="3"/>
      <c r="H827" s="10"/>
      <c r="I827" s="10"/>
      <c r="J827" s="10"/>
    </row>
    <row r="828" spans="2:10">
      <c r="B828" s="2"/>
      <c r="E828" s="3"/>
      <c r="F828" s="3"/>
      <c r="G828" s="3"/>
      <c r="H828" s="10"/>
      <c r="I828" s="10"/>
      <c r="J828" s="10"/>
    </row>
    <row r="829" spans="2:10">
      <c r="B829" s="2"/>
      <c r="E829" s="3"/>
      <c r="F829" s="3"/>
      <c r="G829" s="3"/>
      <c r="H829" s="10"/>
      <c r="I829" s="10"/>
      <c r="J829" s="10"/>
    </row>
    <row r="830" spans="2:10">
      <c r="B830" s="2"/>
      <c r="E830" s="3"/>
      <c r="F830" s="3"/>
      <c r="G830" s="3"/>
      <c r="H830" s="10"/>
      <c r="I830" s="10"/>
      <c r="J830" s="10"/>
    </row>
    <row r="831" spans="2:10">
      <c r="B831" s="2"/>
      <c r="E831" s="3"/>
      <c r="F831" s="3"/>
      <c r="G831" s="3"/>
      <c r="H831" s="10"/>
      <c r="I831" s="10"/>
      <c r="J831" s="10"/>
    </row>
    <row r="832" spans="2:10">
      <c r="B832" s="2"/>
      <c r="E832" s="3"/>
      <c r="F832" s="3"/>
      <c r="G832" s="3"/>
      <c r="H832" s="10"/>
      <c r="I832" s="10"/>
      <c r="J832" s="10"/>
    </row>
    <row r="833" spans="2:10">
      <c r="B833" s="2"/>
      <c r="E833" s="3"/>
      <c r="F833" s="3"/>
      <c r="G833" s="3"/>
      <c r="H833" s="10"/>
      <c r="I833" s="10"/>
      <c r="J833" s="10"/>
    </row>
    <row r="834" spans="2:10">
      <c r="B834" s="2"/>
      <c r="E834" s="3"/>
      <c r="F834" s="3"/>
      <c r="G834" s="3"/>
      <c r="H834" s="10"/>
      <c r="I834" s="10"/>
      <c r="J834" s="10"/>
    </row>
    <row r="835" spans="2:10">
      <c r="B835" s="2"/>
      <c r="E835" s="3"/>
      <c r="F835" s="3"/>
      <c r="G835" s="3"/>
      <c r="H835" s="10"/>
      <c r="I835" s="10"/>
      <c r="J835" s="10"/>
    </row>
    <row r="836" spans="2:10">
      <c r="B836" s="2"/>
      <c r="E836" s="3"/>
      <c r="F836" s="3"/>
      <c r="G836" s="3"/>
      <c r="H836" s="10"/>
      <c r="I836" s="10"/>
      <c r="J836" s="10"/>
    </row>
    <row r="837" spans="2:10">
      <c r="B837" s="2"/>
      <c r="E837" s="3"/>
      <c r="F837" s="3"/>
      <c r="G837" s="3"/>
      <c r="H837" s="10"/>
      <c r="I837" s="10"/>
      <c r="J837" s="10"/>
    </row>
    <row r="838" spans="2:10">
      <c r="B838" s="2"/>
      <c r="E838" s="3"/>
      <c r="F838" s="3"/>
      <c r="G838" s="3"/>
      <c r="H838" s="10"/>
      <c r="I838" s="10"/>
      <c r="J838" s="10"/>
    </row>
    <row r="839" spans="2:10">
      <c r="B839" s="2"/>
      <c r="E839" s="3"/>
      <c r="F839" s="3"/>
      <c r="G839" s="3"/>
      <c r="H839" s="10"/>
      <c r="I839" s="10"/>
      <c r="J839" s="10"/>
    </row>
    <row r="840" spans="2:10">
      <c r="B840" s="2"/>
      <c r="E840" s="3"/>
      <c r="F840" s="3"/>
      <c r="G840" s="3"/>
      <c r="H840" s="10"/>
      <c r="I840" s="10"/>
      <c r="J840" s="10"/>
    </row>
    <row r="841" spans="2:10">
      <c r="B841" s="2"/>
      <c r="E841" s="3"/>
      <c r="F841" s="3"/>
      <c r="G841" s="3"/>
      <c r="H841" s="10"/>
      <c r="I841" s="10"/>
      <c r="J841" s="10"/>
    </row>
    <row r="842" spans="2:10">
      <c r="B842" s="2"/>
      <c r="E842" s="3"/>
      <c r="F842" s="3"/>
      <c r="G842" s="3"/>
      <c r="H842" s="10"/>
      <c r="I842" s="10"/>
      <c r="J842" s="10"/>
    </row>
    <row r="843" spans="2:10">
      <c r="B843" s="2"/>
      <c r="E843" s="3"/>
      <c r="F843" s="3"/>
      <c r="G843" s="3"/>
      <c r="H843" s="10"/>
      <c r="I843" s="10"/>
      <c r="J843" s="10"/>
    </row>
    <row r="844" spans="2:10">
      <c r="B844" s="2"/>
      <c r="E844" s="3"/>
      <c r="F844" s="3"/>
      <c r="G844" s="3"/>
      <c r="H844" s="10"/>
      <c r="I844" s="10"/>
      <c r="J844" s="10"/>
    </row>
    <row r="845" spans="2:10">
      <c r="B845" s="2"/>
      <c r="E845" s="3"/>
      <c r="F845" s="3"/>
      <c r="G845" s="3"/>
      <c r="H845" s="10"/>
      <c r="I845" s="10"/>
      <c r="J845" s="10"/>
    </row>
    <row r="846" spans="2:10">
      <c r="B846" s="2"/>
      <c r="E846" s="3"/>
      <c r="F846" s="3"/>
      <c r="G846" s="3"/>
      <c r="H846" s="10"/>
      <c r="I846" s="10"/>
      <c r="J846" s="10"/>
    </row>
    <row r="847" spans="2:10">
      <c r="B847" s="2"/>
      <c r="E847" s="3"/>
      <c r="F847" s="3"/>
      <c r="G847" s="3"/>
      <c r="H847" s="10"/>
      <c r="I847" s="10"/>
      <c r="J847" s="10"/>
    </row>
    <row r="848" spans="2:10">
      <c r="B848" s="2"/>
      <c r="E848" s="3"/>
      <c r="F848" s="3"/>
      <c r="G848" s="3"/>
      <c r="H848" s="10"/>
      <c r="I848" s="10"/>
      <c r="J848" s="10"/>
    </row>
    <row r="849" spans="2:10">
      <c r="B849" s="2"/>
      <c r="E849" s="3"/>
      <c r="F849" s="3"/>
      <c r="G849" s="3"/>
      <c r="H849" s="10"/>
      <c r="I849" s="10"/>
      <c r="J849" s="10"/>
    </row>
    <row r="850" spans="2:10">
      <c r="B850" s="2"/>
      <c r="E850" s="3"/>
      <c r="F850" s="3"/>
      <c r="G850" s="3"/>
      <c r="H850" s="10"/>
      <c r="I850" s="10"/>
      <c r="J850" s="10"/>
    </row>
    <row r="851" spans="2:10">
      <c r="B851" s="2"/>
      <c r="E851" s="3"/>
      <c r="F851" s="3"/>
      <c r="G851" s="3"/>
      <c r="H851" s="10"/>
      <c r="I851" s="10"/>
      <c r="J851" s="10"/>
    </row>
    <row r="852" spans="2:10">
      <c r="B852" s="2"/>
      <c r="E852" s="3"/>
      <c r="F852" s="3"/>
      <c r="G852" s="3"/>
      <c r="H852" s="10"/>
      <c r="I852" s="10"/>
      <c r="J852" s="10"/>
    </row>
    <row r="853" spans="2:10">
      <c r="B853" s="2"/>
      <c r="E853" s="3"/>
      <c r="F853" s="3"/>
      <c r="G853" s="3"/>
      <c r="H853" s="10"/>
      <c r="I853" s="10"/>
      <c r="J853" s="10"/>
    </row>
    <row r="854" spans="2:10">
      <c r="B854" s="2"/>
      <c r="E854" s="3"/>
      <c r="F854" s="3"/>
      <c r="G854" s="3"/>
      <c r="H854" s="10"/>
      <c r="I854" s="10"/>
      <c r="J854" s="10"/>
    </row>
    <row r="855" spans="2:10">
      <c r="B855" s="2"/>
      <c r="E855" s="3"/>
      <c r="F855" s="3"/>
      <c r="G855" s="3"/>
      <c r="H855" s="10"/>
      <c r="I855" s="10"/>
      <c r="J855" s="10"/>
    </row>
    <row r="856" spans="2:10">
      <c r="B856" s="2"/>
      <c r="E856" s="3"/>
      <c r="F856" s="3"/>
      <c r="G856" s="3"/>
      <c r="H856" s="10"/>
      <c r="I856" s="10"/>
      <c r="J856" s="10"/>
    </row>
    <row r="857" spans="2:10">
      <c r="B857" s="2"/>
      <c r="E857" s="3"/>
      <c r="F857" s="3"/>
      <c r="G857" s="3"/>
      <c r="H857" s="10"/>
      <c r="I857" s="10"/>
      <c r="J857" s="10"/>
    </row>
    <row r="858" spans="2:10">
      <c r="B858" s="2"/>
      <c r="E858" s="3"/>
      <c r="F858" s="3"/>
      <c r="G858" s="3"/>
      <c r="H858" s="10"/>
      <c r="I858" s="10"/>
      <c r="J858" s="10"/>
    </row>
    <row r="859" spans="2:10">
      <c r="B859" s="2"/>
      <c r="E859" s="3"/>
      <c r="F859" s="3"/>
      <c r="G859" s="3"/>
      <c r="H859" s="10"/>
      <c r="I859" s="10"/>
      <c r="J859" s="10"/>
    </row>
    <row r="860" spans="2:10">
      <c r="B860" s="2"/>
      <c r="E860" s="3"/>
      <c r="F860" s="3"/>
      <c r="G860" s="3"/>
      <c r="H860" s="10"/>
      <c r="I860" s="10"/>
      <c r="J860" s="10"/>
    </row>
    <row r="861" spans="2:10">
      <c r="B861" s="2"/>
      <c r="E861" s="3"/>
      <c r="F861" s="3"/>
      <c r="G861" s="3"/>
      <c r="H861" s="10"/>
      <c r="I861" s="10"/>
      <c r="J861" s="10"/>
    </row>
    <row r="862" spans="2:10">
      <c r="B862" s="2"/>
      <c r="E862" s="3"/>
      <c r="F862" s="3"/>
      <c r="G862" s="3"/>
      <c r="H862" s="10"/>
      <c r="I862" s="10"/>
      <c r="J862" s="10"/>
    </row>
    <row r="863" spans="2:10">
      <c r="B863" s="2"/>
      <c r="E863" s="3"/>
      <c r="F863" s="3"/>
      <c r="G863" s="3"/>
      <c r="H863" s="10"/>
      <c r="I863" s="10"/>
      <c r="J863" s="10"/>
    </row>
    <row r="864" spans="2:10">
      <c r="B864" s="2"/>
      <c r="E864" s="3"/>
      <c r="F864" s="3"/>
      <c r="G864" s="3"/>
      <c r="H864" s="10"/>
      <c r="I864" s="10"/>
      <c r="J864" s="10"/>
    </row>
    <row r="865" spans="2:10">
      <c r="B865" s="2"/>
      <c r="E865" s="3"/>
      <c r="F865" s="3"/>
      <c r="G865" s="3"/>
      <c r="H865" s="10"/>
      <c r="I865" s="10"/>
      <c r="J865" s="10"/>
    </row>
    <row r="866" spans="2:10">
      <c r="B866" s="2"/>
      <c r="E866" s="3"/>
      <c r="F866" s="3"/>
      <c r="G866" s="3"/>
      <c r="H866" s="10"/>
      <c r="I866" s="10"/>
      <c r="J866" s="10"/>
    </row>
    <row r="867" spans="2:10">
      <c r="B867" s="2"/>
      <c r="E867" s="3"/>
      <c r="F867" s="3"/>
      <c r="G867" s="3"/>
      <c r="H867" s="10"/>
      <c r="I867" s="10"/>
      <c r="J867" s="10"/>
    </row>
    <row r="868" spans="2:10">
      <c r="B868" s="2"/>
      <c r="E868" s="3"/>
      <c r="F868" s="3"/>
      <c r="G868" s="3"/>
      <c r="H868" s="10"/>
      <c r="I868" s="10"/>
      <c r="J868" s="10"/>
    </row>
    <row r="869" spans="2:10">
      <c r="B869" s="2"/>
      <c r="E869" s="3"/>
      <c r="F869" s="3"/>
      <c r="G869" s="3"/>
      <c r="H869" s="10"/>
      <c r="I869" s="10"/>
      <c r="J869" s="10"/>
    </row>
    <row r="870" spans="2:10">
      <c r="B870" s="2"/>
      <c r="E870" s="3"/>
      <c r="F870" s="3"/>
      <c r="G870" s="3"/>
      <c r="H870" s="10"/>
      <c r="I870" s="10"/>
      <c r="J870" s="10"/>
    </row>
    <row r="871" spans="2:10">
      <c r="B871" s="2"/>
      <c r="E871" s="3"/>
      <c r="F871" s="3"/>
      <c r="G871" s="3"/>
      <c r="H871" s="10"/>
      <c r="I871" s="10"/>
      <c r="J871" s="10"/>
    </row>
    <row r="872" spans="2:10">
      <c r="B872" s="2"/>
      <c r="E872" s="3"/>
      <c r="F872" s="3"/>
      <c r="G872" s="3"/>
      <c r="H872" s="10"/>
      <c r="I872" s="10"/>
      <c r="J872" s="10"/>
    </row>
    <row r="873" spans="2:10">
      <c r="B873" s="2"/>
      <c r="E873" s="3"/>
      <c r="F873" s="3"/>
      <c r="G873" s="3"/>
      <c r="H873" s="10"/>
      <c r="I873" s="10"/>
      <c r="J873" s="10"/>
    </row>
    <row r="874" spans="2:10">
      <c r="B874" s="2"/>
      <c r="E874" s="3"/>
      <c r="F874" s="3"/>
      <c r="G874" s="3"/>
      <c r="H874" s="10"/>
      <c r="I874" s="10"/>
      <c r="J874" s="10"/>
    </row>
    <row r="875" spans="2:10">
      <c r="B875" s="2"/>
      <c r="E875" s="3"/>
      <c r="F875" s="3"/>
      <c r="G875" s="3"/>
      <c r="H875" s="10"/>
      <c r="I875" s="10"/>
      <c r="J875" s="10"/>
    </row>
    <row r="876" spans="2:10">
      <c r="B876" s="2"/>
      <c r="E876" s="3"/>
      <c r="F876" s="3"/>
      <c r="G876" s="3"/>
      <c r="H876" s="10"/>
      <c r="I876" s="10"/>
      <c r="J876" s="10"/>
    </row>
    <row r="877" spans="2:10">
      <c r="B877" s="2"/>
      <c r="E877" s="3"/>
      <c r="F877" s="3"/>
      <c r="G877" s="3"/>
      <c r="H877" s="10"/>
      <c r="I877" s="10"/>
      <c r="J877" s="10"/>
    </row>
    <row r="878" spans="2:10">
      <c r="B878" s="2"/>
      <c r="E878" s="3"/>
      <c r="F878" s="3"/>
      <c r="G878" s="3"/>
      <c r="H878" s="10"/>
      <c r="I878" s="10"/>
      <c r="J878" s="10"/>
    </row>
    <row r="879" spans="2:10">
      <c r="B879" s="2"/>
      <c r="E879" s="3"/>
      <c r="F879" s="3"/>
      <c r="G879" s="3"/>
      <c r="H879" s="10"/>
      <c r="I879" s="10"/>
      <c r="J879" s="10"/>
    </row>
    <row r="880" spans="2:10">
      <c r="B880" s="2"/>
      <c r="E880" s="3"/>
      <c r="F880" s="3"/>
      <c r="G880" s="3"/>
      <c r="H880" s="10"/>
      <c r="I880" s="10"/>
      <c r="J880" s="10"/>
    </row>
    <row r="881" spans="2:10">
      <c r="B881" s="2"/>
      <c r="E881" s="3"/>
      <c r="F881" s="3"/>
      <c r="G881" s="3"/>
      <c r="H881" s="10"/>
      <c r="I881" s="10"/>
      <c r="J881" s="10"/>
    </row>
    <row r="882" spans="2:10">
      <c r="B882" s="2"/>
      <c r="E882" s="3"/>
      <c r="F882" s="3"/>
      <c r="G882" s="3"/>
      <c r="H882" s="10"/>
      <c r="I882" s="10"/>
      <c r="J882" s="10"/>
    </row>
    <row r="883" spans="2:10">
      <c r="B883" s="2"/>
      <c r="E883" s="3"/>
      <c r="F883" s="3"/>
      <c r="G883" s="3"/>
      <c r="H883" s="10"/>
      <c r="I883" s="10"/>
      <c r="J883" s="10"/>
    </row>
    <row r="884" spans="2:10">
      <c r="B884" s="2"/>
      <c r="E884" s="3"/>
      <c r="F884" s="3"/>
      <c r="G884" s="3"/>
      <c r="H884" s="10"/>
      <c r="I884" s="10"/>
      <c r="J884" s="10"/>
    </row>
    <row r="885" spans="2:10">
      <c r="B885" s="2"/>
      <c r="E885" s="3"/>
      <c r="F885" s="3"/>
      <c r="G885" s="3"/>
      <c r="H885" s="10"/>
      <c r="I885" s="10"/>
      <c r="J885" s="10"/>
    </row>
    <row r="886" spans="2:10">
      <c r="B886" s="2"/>
      <c r="E886" s="3"/>
      <c r="F886" s="3"/>
      <c r="G886" s="3"/>
      <c r="H886" s="10"/>
      <c r="I886" s="10"/>
      <c r="J886" s="10"/>
    </row>
    <row r="887" spans="2:10">
      <c r="B887" s="2"/>
      <c r="E887" s="3"/>
      <c r="F887" s="3"/>
      <c r="G887" s="3"/>
      <c r="H887" s="10"/>
      <c r="I887" s="10"/>
      <c r="J887" s="10"/>
    </row>
    <row r="888" spans="2:10">
      <c r="B888" s="2"/>
      <c r="E888" s="3"/>
      <c r="F888" s="3"/>
      <c r="G888" s="3"/>
      <c r="H888" s="10"/>
      <c r="I888" s="10"/>
      <c r="J888" s="10"/>
    </row>
    <row r="889" spans="2:10">
      <c r="B889" s="2"/>
      <c r="E889" s="3"/>
      <c r="F889" s="3"/>
      <c r="G889" s="3"/>
      <c r="H889" s="10"/>
      <c r="I889" s="10"/>
      <c r="J889" s="10"/>
    </row>
    <row r="890" spans="2:10">
      <c r="B890" s="2"/>
      <c r="E890" s="3"/>
      <c r="F890" s="3"/>
      <c r="G890" s="3"/>
      <c r="H890" s="10"/>
      <c r="I890" s="10"/>
      <c r="J890" s="10"/>
    </row>
    <row r="891" spans="2:10">
      <c r="B891" s="2"/>
      <c r="E891" s="3"/>
      <c r="F891" s="3"/>
      <c r="G891" s="3"/>
      <c r="H891" s="10"/>
      <c r="I891" s="10"/>
      <c r="J891" s="10"/>
    </row>
    <row r="892" spans="2:10">
      <c r="B892" s="2"/>
      <c r="E892" s="3"/>
      <c r="F892" s="3"/>
      <c r="G892" s="3"/>
      <c r="H892" s="10"/>
      <c r="I892" s="10"/>
      <c r="J892" s="10"/>
    </row>
    <row r="893" spans="2:10">
      <c r="B893" s="2"/>
      <c r="E893" s="3"/>
      <c r="F893" s="3"/>
      <c r="G893" s="3"/>
      <c r="H893" s="10"/>
      <c r="I893" s="10"/>
      <c r="J893" s="10"/>
    </row>
    <row r="894" spans="2:10">
      <c r="B894" s="2"/>
      <c r="E894" s="3"/>
      <c r="F894" s="3"/>
      <c r="G894" s="3"/>
      <c r="H894" s="10"/>
      <c r="I894" s="10"/>
      <c r="J894" s="10"/>
    </row>
    <row r="895" spans="2:10">
      <c r="B895" s="2"/>
      <c r="E895" s="3"/>
      <c r="F895" s="3"/>
      <c r="G895" s="3"/>
      <c r="H895" s="10"/>
      <c r="I895" s="10"/>
      <c r="J895" s="10"/>
    </row>
    <row r="896" spans="2:10">
      <c r="B896" s="2"/>
      <c r="E896" s="3"/>
      <c r="F896" s="3"/>
      <c r="G896" s="3"/>
      <c r="H896" s="10"/>
      <c r="I896" s="10"/>
      <c r="J896" s="10"/>
    </row>
    <row r="897" spans="2:10">
      <c r="B897" s="2"/>
      <c r="E897" s="3"/>
      <c r="F897" s="3"/>
      <c r="G897" s="3"/>
      <c r="H897" s="10"/>
      <c r="I897" s="10"/>
      <c r="J897" s="10"/>
    </row>
    <row r="898" spans="2:10">
      <c r="B898" s="2"/>
      <c r="E898" s="3"/>
      <c r="F898" s="3"/>
      <c r="G898" s="3"/>
      <c r="H898" s="10"/>
      <c r="I898" s="10"/>
      <c r="J898" s="10"/>
    </row>
    <row r="899" spans="2:10">
      <c r="B899" s="2"/>
      <c r="E899" s="3"/>
      <c r="F899" s="3"/>
      <c r="G899" s="3"/>
      <c r="H899" s="10"/>
      <c r="I899" s="10"/>
      <c r="J899" s="10"/>
    </row>
    <row r="900" spans="2:10">
      <c r="B900" s="2"/>
      <c r="E900" s="3"/>
      <c r="F900" s="3"/>
      <c r="G900" s="3"/>
      <c r="H900" s="10"/>
      <c r="I900" s="10"/>
      <c r="J900" s="10"/>
    </row>
    <row r="901" spans="2:10">
      <c r="B901" s="2"/>
      <c r="E901" s="3"/>
      <c r="F901" s="3"/>
      <c r="G901" s="3"/>
      <c r="H901" s="10"/>
      <c r="I901" s="10"/>
      <c r="J901" s="10"/>
    </row>
    <row r="902" spans="2:10">
      <c r="B902" s="2"/>
      <c r="E902" s="3"/>
      <c r="F902" s="3"/>
      <c r="G902" s="3"/>
      <c r="H902" s="10"/>
      <c r="I902" s="10"/>
      <c r="J902" s="10"/>
    </row>
    <row r="903" spans="2:10">
      <c r="B903" s="2"/>
      <c r="E903" s="3"/>
      <c r="F903" s="3"/>
      <c r="G903" s="3"/>
      <c r="H903" s="10"/>
      <c r="I903" s="10"/>
      <c r="J903" s="10"/>
    </row>
    <row r="904" spans="2:10">
      <c r="B904" s="2"/>
      <c r="E904" s="3"/>
      <c r="F904" s="3"/>
      <c r="G904" s="3"/>
      <c r="H904" s="10"/>
      <c r="I904" s="10"/>
      <c r="J904" s="10"/>
    </row>
    <row r="905" spans="2:10">
      <c r="B905" s="2"/>
      <c r="E905" s="3"/>
      <c r="F905" s="3"/>
      <c r="G905" s="3"/>
      <c r="H905" s="10"/>
      <c r="I905" s="10"/>
      <c r="J905" s="10"/>
    </row>
    <row r="906" spans="2:10">
      <c r="B906" s="2"/>
      <c r="E906" s="3"/>
      <c r="F906" s="3"/>
      <c r="G906" s="3"/>
      <c r="H906" s="10"/>
      <c r="I906" s="10"/>
      <c r="J906" s="10"/>
    </row>
    <row r="907" spans="2:10">
      <c r="B907" s="2"/>
      <c r="E907" s="3"/>
      <c r="F907" s="3"/>
      <c r="G907" s="3"/>
      <c r="H907" s="10"/>
      <c r="I907" s="10"/>
      <c r="J907" s="10"/>
    </row>
    <row r="908" spans="2:10">
      <c r="B908" s="2"/>
      <c r="E908" s="3"/>
      <c r="F908" s="3"/>
      <c r="G908" s="3"/>
      <c r="H908" s="10"/>
      <c r="I908" s="10"/>
      <c r="J908" s="10"/>
    </row>
    <row r="909" spans="2:10">
      <c r="B909" s="2"/>
      <c r="E909" s="3"/>
      <c r="F909" s="3"/>
      <c r="G909" s="3"/>
      <c r="H909" s="10"/>
      <c r="I909" s="10"/>
      <c r="J909" s="10"/>
    </row>
    <row r="910" spans="2:10">
      <c r="B910" s="2"/>
      <c r="E910" s="3"/>
      <c r="F910" s="3"/>
      <c r="G910" s="3"/>
      <c r="H910" s="10"/>
      <c r="I910" s="10"/>
      <c r="J910" s="10"/>
    </row>
    <row r="911" spans="2:10">
      <c r="B911" s="2"/>
      <c r="E911" s="3"/>
      <c r="F911" s="3"/>
      <c r="G911" s="3"/>
      <c r="H911" s="10"/>
      <c r="I911" s="10"/>
      <c r="J911" s="10"/>
    </row>
    <row r="912" spans="2:10">
      <c r="B912" s="2"/>
      <c r="E912" s="3"/>
      <c r="F912" s="3"/>
      <c r="G912" s="3"/>
      <c r="H912" s="10"/>
      <c r="I912" s="10"/>
      <c r="J912" s="10"/>
    </row>
    <row r="913" spans="2:10">
      <c r="B913" s="2"/>
      <c r="E913" s="3"/>
      <c r="F913" s="3"/>
      <c r="G913" s="3"/>
      <c r="H913" s="10"/>
      <c r="I913" s="10"/>
      <c r="J913" s="10"/>
    </row>
    <row r="914" spans="2:10">
      <c r="B914" s="2"/>
      <c r="E914" s="3"/>
      <c r="F914" s="3"/>
      <c r="G914" s="3"/>
      <c r="H914" s="10"/>
      <c r="I914" s="10"/>
      <c r="J914" s="10"/>
    </row>
    <row r="915" spans="2:10">
      <c r="B915" s="2"/>
      <c r="E915" s="3"/>
      <c r="F915" s="3"/>
      <c r="G915" s="3"/>
      <c r="H915" s="10"/>
      <c r="I915" s="10"/>
      <c r="J915" s="10"/>
    </row>
    <row r="916" spans="2:10">
      <c r="B916" s="2"/>
      <c r="E916" s="3"/>
      <c r="F916" s="3"/>
      <c r="G916" s="3"/>
      <c r="H916" s="10"/>
      <c r="I916" s="10"/>
      <c r="J916" s="10"/>
    </row>
    <row r="917" spans="2:10">
      <c r="B917" s="2"/>
      <c r="E917" s="3"/>
      <c r="F917" s="3"/>
      <c r="G917" s="3"/>
      <c r="H917" s="10"/>
      <c r="I917" s="10"/>
      <c r="J917" s="10"/>
    </row>
    <row r="918" spans="2:10">
      <c r="B918" s="2"/>
      <c r="E918" s="3"/>
      <c r="F918" s="3"/>
      <c r="G918" s="3"/>
      <c r="H918" s="10"/>
      <c r="I918" s="10"/>
      <c r="J918" s="10"/>
    </row>
    <row r="919" spans="2:10">
      <c r="B919" s="2"/>
      <c r="E919" s="3"/>
      <c r="F919" s="3"/>
      <c r="G919" s="3"/>
      <c r="H919" s="10"/>
      <c r="I919" s="10"/>
      <c r="J919" s="10"/>
    </row>
    <row r="920" spans="2:10">
      <c r="B920" s="2"/>
      <c r="E920" s="3"/>
      <c r="F920" s="3"/>
      <c r="G920" s="3"/>
      <c r="H920" s="10"/>
      <c r="I920" s="10"/>
      <c r="J920" s="10"/>
    </row>
    <row r="921" spans="2:10">
      <c r="B921" s="2"/>
      <c r="E921" s="3"/>
      <c r="F921" s="3"/>
      <c r="G921" s="3"/>
      <c r="H921" s="10"/>
      <c r="I921" s="10"/>
      <c r="J921" s="10"/>
    </row>
    <row r="922" spans="2:10">
      <c r="B922" s="2"/>
      <c r="E922" s="3"/>
      <c r="F922" s="3"/>
      <c r="G922" s="3"/>
      <c r="H922" s="10"/>
      <c r="I922" s="10"/>
      <c r="J922" s="10"/>
    </row>
    <row r="923" spans="2:10">
      <c r="B923" s="2"/>
      <c r="E923" s="3"/>
      <c r="F923" s="3"/>
      <c r="G923" s="3"/>
      <c r="H923" s="10"/>
      <c r="I923" s="10"/>
      <c r="J923" s="10"/>
    </row>
    <row r="924" spans="2:10">
      <c r="B924" s="2"/>
      <c r="E924" s="3"/>
      <c r="F924" s="3"/>
      <c r="G924" s="3"/>
      <c r="H924" s="10"/>
      <c r="I924" s="10"/>
      <c r="J924" s="10"/>
    </row>
    <row r="925" spans="2:10">
      <c r="B925" s="2"/>
      <c r="E925" s="3"/>
      <c r="F925" s="3"/>
      <c r="G925" s="3"/>
      <c r="H925" s="10"/>
      <c r="I925" s="10"/>
      <c r="J925" s="10"/>
    </row>
    <row r="926" spans="2:10">
      <c r="B926" s="2"/>
      <c r="E926" s="3"/>
      <c r="F926" s="3"/>
      <c r="G926" s="3"/>
      <c r="H926" s="10"/>
      <c r="I926" s="10"/>
      <c r="J926" s="10"/>
    </row>
    <row r="927" spans="2:10">
      <c r="B927" s="2"/>
      <c r="E927" s="3"/>
      <c r="F927" s="3"/>
      <c r="G927" s="3"/>
      <c r="H927" s="10"/>
      <c r="I927" s="10"/>
      <c r="J927" s="10"/>
    </row>
    <row r="928" spans="2:10">
      <c r="B928" s="2"/>
      <c r="E928" s="3"/>
      <c r="F928" s="3"/>
      <c r="G928" s="3"/>
      <c r="H928" s="10"/>
      <c r="I928" s="10"/>
      <c r="J928" s="10"/>
    </row>
    <row r="929" spans="2:10">
      <c r="B929" s="2"/>
      <c r="E929" s="3"/>
      <c r="F929" s="3"/>
      <c r="G929" s="3"/>
      <c r="H929" s="10"/>
      <c r="I929" s="10"/>
      <c r="J929" s="10"/>
    </row>
    <row r="930" spans="2:10">
      <c r="B930" s="2"/>
      <c r="E930" s="3"/>
      <c r="F930" s="3"/>
      <c r="G930" s="3"/>
      <c r="H930" s="10"/>
      <c r="I930" s="10"/>
      <c r="J930" s="10"/>
    </row>
    <row r="931" spans="2:10">
      <c r="B931" s="2"/>
      <c r="E931" s="3"/>
      <c r="F931" s="3"/>
      <c r="G931" s="3"/>
      <c r="H931" s="10"/>
      <c r="I931" s="10"/>
      <c r="J931" s="10"/>
    </row>
    <row r="932" spans="2:10">
      <c r="B932" s="2"/>
      <c r="E932" s="3"/>
      <c r="F932" s="3"/>
      <c r="G932" s="3"/>
      <c r="H932" s="10"/>
      <c r="I932" s="10"/>
      <c r="J932" s="10"/>
    </row>
    <row r="933" spans="2:10">
      <c r="B933" s="2"/>
      <c r="E933" s="3"/>
      <c r="F933" s="3"/>
      <c r="G933" s="3"/>
      <c r="H933" s="10"/>
      <c r="I933" s="10"/>
      <c r="J933" s="10"/>
    </row>
    <row r="934" spans="2:10">
      <c r="B934" s="2"/>
      <c r="E934" s="3"/>
      <c r="F934" s="3"/>
      <c r="G934" s="3"/>
      <c r="H934" s="10"/>
      <c r="I934" s="10"/>
      <c r="J934" s="10"/>
    </row>
    <row r="935" spans="2:10">
      <c r="B935" s="2"/>
      <c r="E935" s="3"/>
      <c r="F935" s="3"/>
      <c r="G935" s="3"/>
      <c r="H935" s="10"/>
      <c r="I935" s="10"/>
      <c r="J935" s="10"/>
    </row>
    <row r="936" spans="2:10">
      <c r="B936" s="2"/>
      <c r="E936" s="3"/>
      <c r="F936" s="3"/>
      <c r="G936" s="3"/>
      <c r="H936" s="10"/>
      <c r="I936" s="10"/>
      <c r="J936" s="10"/>
    </row>
    <row r="937" spans="2:10">
      <c r="B937" s="2"/>
      <c r="E937" s="3"/>
      <c r="F937" s="3"/>
      <c r="G937" s="3"/>
      <c r="H937" s="10"/>
      <c r="I937" s="10"/>
      <c r="J937" s="10"/>
    </row>
    <row r="938" spans="2:10">
      <c r="B938" s="2"/>
      <c r="E938" s="3"/>
      <c r="F938" s="3"/>
      <c r="G938" s="3"/>
      <c r="H938" s="10"/>
      <c r="I938" s="10"/>
      <c r="J938" s="10"/>
    </row>
    <row r="939" spans="2:10">
      <c r="B939" s="2"/>
      <c r="E939" s="3"/>
      <c r="F939" s="3"/>
      <c r="G939" s="3"/>
      <c r="H939" s="10"/>
      <c r="I939" s="10"/>
      <c r="J939" s="10"/>
    </row>
    <row r="940" spans="2:10">
      <c r="B940" s="2"/>
      <c r="E940" s="3"/>
      <c r="F940" s="3"/>
      <c r="G940" s="3"/>
      <c r="H940" s="10"/>
      <c r="I940" s="10"/>
      <c r="J940" s="10"/>
    </row>
    <row r="941" spans="2:10">
      <c r="B941" s="2"/>
      <c r="E941" s="3"/>
      <c r="F941" s="3"/>
      <c r="G941" s="3"/>
      <c r="H941" s="10"/>
      <c r="I941" s="10"/>
      <c r="J941" s="10"/>
    </row>
    <row r="942" spans="2:10">
      <c r="B942" s="2"/>
      <c r="E942" s="3"/>
      <c r="F942" s="3"/>
      <c r="G942" s="3"/>
      <c r="H942" s="10"/>
      <c r="I942" s="10"/>
      <c r="J942" s="10"/>
    </row>
    <row r="943" spans="2:10">
      <c r="B943" s="2"/>
      <c r="E943" s="3"/>
      <c r="F943" s="3"/>
      <c r="G943" s="3"/>
      <c r="H943" s="10"/>
      <c r="I943" s="10"/>
      <c r="J943" s="10"/>
    </row>
    <row r="944" spans="2:10">
      <c r="B944" s="2"/>
      <c r="E944" s="3"/>
      <c r="F944" s="3"/>
      <c r="G944" s="3"/>
      <c r="H944" s="10"/>
      <c r="I944" s="10"/>
      <c r="J944" s="10"/>
    </row>
    <row r="945" spans="2:10">
      <c r="B945" s="2"/>
      <c r="E945" s="3"/>
      <c r="F945" s="3"/>
      <c r="G945" s="3"/>
      <c r="H945" s="10"/>
      <c r="I945" s="10"/>
      <c r="J945" s="10"/>
    </row>
    <row r="946" spans="2:10">
      <c r="B946" s="2"/>
      <c r="E946" s="3"/>
      <c r="F946" s="3"/>
      <c r="G946" s="3"/>
      <c r="H946" s="10"/>
      <c r="I946" s="10"/>
      <c r="J946" s="10"/>
    </row>
    <row r="947" spans="2:10">
      <c r="B947" s="2"/>
      <c r="E947" s="3"/>
      <c r="F947" s="3"/>
      <c r="G947" s="3"/>
      <c r="H947" s="10"/>
      <c r="I947" s="10"/>
      <c r="J947" s="10"/>
    </row>
    <row r="948" spans="2:10">
      <c r="B948" s="2"/>
      <c r="E948" s="3"/>
      <c r="F948" s="3"/>
      <c r="G948" s="3"/>
      <c r="H948" s="10"/>
      <c r="I948" s="10"/>
      <c r="J948" s="10"/>
    </row>
    <row r="949" spans="2:10">
      <c r="B949" s="2"/>
      <c r="E949" s="3"/>
      <c r="F949" s="3"/>
      <c r="G949" s="3"/>
      <c r="H949" s="10"/>
      <c r="I949" s="10"/>
      <c r="J949" s="10"/>
    </row>
    <row r="950" spans="2:10">
      <c r="B950" s="2"/>
      <c r="E950" s="3"/>
      <c r="F950" s="3"/>
      <c r="G950" s="3"/>
      <c r="H950" s="10"/>
      <c r="I950" s="10"/>
      <c r="J950" s="10"/>
    </row>
    <row r="951" spans="2:10">
      <c r="B951" s="2"/>
      <c r="E951" s="3"/>
      <c r="F951" s="3"/>
      <c r="G951" s="3"/>
      <c r="H951" s="10"/>
      <c r="I951" s="10"/>
      <c r="J951" s="10"/>
    </row>
    <row r="952" spans="2:10">
      <c r="B952" s="2"/>
      <c r="E952" s="3"/>
      <c r="F952" s="3"/>
      <c r="G952" s="3"/>
      <c r="H952" s="10"/>
      <c r="I952" s="10"/>
      <c r="J952" s="10"/>
    </row>
    <row r="953" spans="2:10">
      <c r="B953" s="2"/>
      <c r="E953" s="3"/>
      <c r="F953" s="3"/>
      <c r="G953" s="3"/>
      <c r="H953" s="10"/>
      <c r="I953" s="10"/>
      <c r="J953" s="10"/>
    </row>
    <row r="954" spans="2:10">
      <c r="B954" s="2"/>
      <c r="E954" s="3"/>
      <c r="F954" s="3"/>
      <c r="G954" s="3"/>
      <c r="H954" s="10"/>
      <c r="I954" s="10"/>
      <c r="J954" s="10"/>
    </row>
    <row r="955" spans="2:10">
      <c r="B955" s="2"/>
      <c r="E955" s="3"/>
      <c r="F955" s="3"/>
      <c r="G955" s="3"/>
      <c r="H955" s="10"/>
      <c r="I955" s="10"/>
      <c r="J955" s="10"/>
    </row>
    <row r="956" spans="2:10">
      <c r="B956" s="2"/>
      <c r="E956" s="3"/>
      <c r="F956" s="3"/>
      <c r="G956" s="3"/>
      <c r="H956" s="10"/>
      <c r="I956" s="10"/>
      <c r="J956" s="10"/>
    </row>
    <row r="957" spans="2:10">
      <c r="B957" s="2"/>
      <c r="E957" s="3"/>
      <c r="F957" s="3"/>
      <c r="G957" s="3"/>
      <c r="H957" s="10"/>
      <c r="I957" s="10"/>
      <c r="J957" s="10"/>
    </row>
    <row r="958" spans="2:10">
      <c r="B958" s="2"/>
      <c r="E958" s="3"/>
      <c r="F958" s="3"/>
      <c r="G958" s="3"/>
      <c r="H958" s="10"/>
      <c r="I958" s="10"/>
      <c r="J958" s="10"/>
    </row>
    <row r="959" spans="2:10">
      <c r="B959" s="2"/>
      <c r="E959" s="3"/>
      <c r="F959" s="3"/>
      <c r="G959" s="3"/>
      <c r="H959" s="10"/>
      <c r="I959" s="10"/>
      <c r="J959" s="10"/>
    </row>
    <row r="960" spans="2:10">
      <c r="B960" s="2"/>
      <c r="E960" s="3"/>
      <c r="F960" s="3"/>
      <c r="G960" s="3"/>
      <c r="H960" s="10"/>
      <c r="I960" s="10"/>
      <c r="J960" s="10"/>
    </row>
    <row r="961" spans="2:10">
      <c r="B961" s="2"/>
      <c r="E961" s="3"/>
      <c r="F961" s="3"/>
      <c r="G961" s="3"/>
      <c r="H961" s="10"/>
      <c r="I961" s="10"/>
      <c r="J961" s="10"/>
    </row>
    <row r="962" spans="2:10">
      <c r="B962" s="2"/>
      <c r="E962" s="3"/>
      <c r="F962" s="3"/>
      <c r="G962" s="3"/>
      <c r="H962" s="10"/>
      <c r="I962" s="10"/>
      <c r="J962" s="10"/>
    </row>
    <row r="963" spans="2:10">
      <c r="B963" s="2"/>
      <c r="E963" s="3"/>
      <c r="F963" s="3"/>
      <c r="G963" s="3"/>
      <c r="H963" s="10"/>
      <c r="I963" s="10"/>
      <c r="J963" s="10"/>
    </row>
    <row r="964" spans="2:10">
      <c r="B964" s="2"/>
      <c r="E964" s="3"/>
      <c r="F964" s="3"/>
      <c r="G964" s="3"/>
      <c r="H964" s="10"/>
      <c r="I964" s="10"/>
      <c r="J964" s="10"/>
    </row>
    <row r="965" spans="2:10">
      <c r="B965" s="2"/>
      <c r="E965" s="3"/>
      <c r="F965" s="3"/>
      <c r="G965" s="3"/>
      <c r="H965" s="10"/>
      <c r="I965" s="10"/>
      <c r="J965" s="10"/>
    </row>
    <row r="966" spans="2:10">
      <c r="B966" s="2"/>
      <c r="E966" s="3"/>
      <c r="F966" s="3"/>
      <c r="G966" s="3"/>
      <c r="H966" s="10"/>
      <c r="I966" s="10"/>
      <c r="J966" s="10"/>
    </row>
    <row r="967" spans="2:10">
      <c r="B967" s="2"/>
      <c r="E967" s="3"/>
      <c r="F967" s="3"/>
      <c r="G967" s="3"/>
      <c r="H967" s="10"/>
      <c r="I967" s="10"/>
      <c r="J967" s="10"/>
    </row>
    <row r="968" spans="2:10">
      <c r="B968" s="2"/>
      <c r="E968" s="3"/>
      <c r="F968" s="3"/>
      <c r="G968" s="3"/>
      <c r="H968" s="10"/>
      <c r="I968" s="10"/>
      <c r="J968" s="10"/>
    </row>
    <row r="969" spans="2:10">
      <c r="B969" s="2"/>
      <c r="E969" s="3"/>
      <c r="F969" s="3"/>
      <c r="G969" s="3"/>
      <c r="H969" s="10"/>
      <c r="I969" s="10"/>
      <c r="J969" s="10"/>
    </row>
    <row r="970" spans="2:10">
      <c r="B970" s="2"/>
      <c r="E970" s="3"/>
      <c r="F970" s="3"/>
      <c r="G970" s="3"/>
      <c r="H970" s="10"/>
      <c r="I970" s="10"/>
      <c r="J970" s="10"/>
    </row>
    <row r="971" spans="2:10">
      <c r="B971" s="2"/>
      <c r="E971" s="3"/>
      <c r="F971" s="3"/>
      <c r="G971" s="3"/>
      <c r="H971" s="10"/>
      <c r="I971" s="10"/>
      <c r="J971" s="10"/>
    </row>
    <row r="972" spans="2:10">
      <c r="B972" s="2"/>
      <c r="E972" s="3"/>
      <c r="F972" s="3"/>
      <c r="G972" s="3"/>
      <c r="H972" s="10"/>
      <c r="I972" s="10"/>
      <c r="J972" s="10"/>
    </row>
    <row r="973" spans="2:10">
      <c r="B973" s="2"/>
      <c r="E973" s="3"/>
      <c r="F973" s="3"/>
      <c r="G973" s="3"/>
      <c r="H973" s="10"/>
      <c r="I973" s="10"/>
      <c r="J973" s="10"/>
    </row>
    <row r="974" spans="2:10">
      <c r="B974" s="2"/>
      <c r="E974" s="3"/>
      <c r="F974" s="3"/>
      <c r="G974" s="3"/>
      <c r="H974" s="10"/>
      <c r="I974" s="10"/>
      <c r="J974" s="10"/>
    </row>
    <row r="975" spans="2:10">
      <c r="B975" s="2"/>
      <c r="E975" s="3"/>
      <c r="F975" s="3"/>
      <c r="G975" s="3"/>
      <c r="H975" s="10"/>
      <c r="I975" s="10"/>
      <c r="J975" s="10"/>
    </row>
    <row r="976" spans="2:10">
      <c r="B976" s="2"/>
      <c r="E976" s="3"/>
      <c r="F976" s="3"/>
      <c r="G976" s="3"/>
      <c r="H976" s="10"/>
      <c r="I976" s="10"/>
      <c r="J976" s="10"/>
    </row>
    <row r="977" spans="2:10">
      <c r="B977" s="2"/>
      <c r="E977" s="3"/>
      <c r="F977" s="3"/>
      <c r="G977" s="3"/>
      <c r="H977" s="10"/>
      <c r="I977" s="10"/>
      <c r="J977" s="10"/>
    </row>
    <row r="978" spans="2:10">
      <c r="B978" s="2"/>
      <c r="E978" s="3"/>
      <c r="F978" s="3"/>
      <c r="G978" s="3"/>
      <c r="H978" s="10"/>
      <c r="I978" s="10"/>
      <c r="J978" s="10"/>
    </row>
    <row r="979" spans="2:10">
      <c r="B979" s="2"/>
      <c r="E979" s="3"/>
      <c r="F979" s="3"/>
      <c r="G979" s="3"/>
      <c r="H979" s="10"/>
      <c r="I979" s="10"/>
      <c r="J979" s="10"/>
    </row>
    <row r="980" spans="2:10">
      <c r="B980" s="2"/>
      <c r="E980" s="3"/>
      <c r="F980" s="3"/>
      <c r="G980" s="3"/>
      <c r="H980" s="10"/>
      <c r="I980" s="10"/>
      <c r="J980" s="10"/>
    </row>
    <row r="981" spans="2:10">
      <c r="B981" s="2"/>
      <c r="E981" s="3"/>
      <c r="F981" s="3"/>
      <c r="G981" s="3"/>
      <c r="H981" s="10"/>
      <c r="I981" s="10"/>
      <c r="J981" s="10"/>
    </row>
    <row r="982" spans="2:10">
      <c r="B982" s="2"/>
      <c r="E982" s="3"/>
      <c r="F982" s="3"/>
      <c r="G982" s="3"/>
      <c r="H982" s="10"/>
      <c r="I982" s="10"/>
      <c r="J982" s="10"/>
    </row>
    <row r="983" spans="2:10">
      <c r="B983" s="2"/>
      <c r="E983" s="3"/>
      <c r="F983" s="3"/>
      <c r="G983" s="3"/>
      <c r="H983" s="10"/>
      <c r="I983" s="10"/>
      <c r="J983" s="10"/>
    </row>
    <row r="984" spans="2:10">
      <c r="B984" s="2"/>
      <c r="E984" s="3"/>
      <c r="F984" s="3"/>
      <c r="G984" s="3"/>
      <c r="H984" s="10"/>
      <c r="I984" s="10"/>
      <c r="J984" s="10"/>
    </row>
    <row r="985" spans="2:10">
      <c r="B985" s="2"/>
      <c r="E985" s="3"/>
      <c r="F985" s="3"/>
      <c r="G985" s="3"/>
      <c r="H985" s="10"/>
      <c r="I985" s="10"/>
      <c r="J985" s="10"/>
    </row>
    <row r="986" spans="2:10">
      <c r="B986" s="2"/>
      <c r="E986" s="3"/>
      <c r="F986" s="3"/>
      <c r="G986" s="3"/>
      <c r="H986" s="10"/>
      <c r="I986" s="10"/>
      <c r="J986" s="10"/>
    </row>
    <row r="987" spans="2:10">
      <c r="B987" s="2"/>
      <c r="E987" s="3"/>
      <c r="F987" s="3"/>
      <c r="G987" s="3"/>
      <c r="H987" s="10"/>
      <c r="I987" s="10"/>
      <c r="J987" s="10"/>
    </row>
    <row r="988" spans="2:10">
      <c r="B988" s="2"/>
      <c r="E988" s="3"/>
      <c r="F988" s="3"/>
      <c r="G988" s="3"/>
      <c r="H988" s="10"/>
      <c r="I988" s="10"/>
      <c r="J988" s="10"/>
    </row>
    <row r="989" spans="2:10">
      <c r="B989" s="2"/>
      <c r="E989" s="3"/>
      <c r="F989" s="3"/>
      <c r="G989" s="3"/>
      <c r="H989" s="10"/>
      <c r="I989" s="10"/>
      <c r="J989" s="10"/>
    </row>
    <row r="990" spans="2:10">
      <c r="B990" s="2"/>
      <c r="E990" s="3"/>
      <c r="F990" s="3"/>
      <c r="G990" s="3"/>
      <c r="H990" s="10"/>
      <c r="I990" s="10"/>
      <c r="J990" s="10"/>
    </row>
    <row r="991" spans="2:10">
      <c r="B991" s="2"/>
      <c r="E991" s="3"/>
      <c r="F991" s="3"/>
      <c r="G991" s="3"/>
      <c r="H991" s="10"/>
      <c r="I991" s="10"/>
      <c r="J991" s="10"/>
    </row>
    <row r="992" spans="2:10">
      <c r="B992" s="2"/>
      <c r="E992" s="3"/>
      <c r="F992" s="3"/>
      <c r="G992" s="3"/>
      <c r="H992" s="10"/>
      <c r="I992" s="10"/>
      <c r="J992" s="10"/>
    </row>
    <row r="993" spans="2:10">
      <c r="B993" s="2"/>
      <c r="E993" s="3"/>
      <c r="F993" s="3"/>
      <c r="G993" s="3"/>
      <c r="H993" s="10"/>
      <c r="I993" s="10"/>
      <c r="J993" s="10"/>
    </row>
    <row r="994" spans="2:10">
      <c r="B994" s="2"/>
      <c r="E994" s="3"/>
      <c r="F994" s="3"/>
      <c r="G994" s="3"/>
      <c r="H994" s="10"/>
      <c r="I994" s="10"/>
      <c r="J994" s="10"/>
    </row>
    <row r="995" spans="2:10">
      <c r="B995" s="2"/>
      <c r="E995" s="3"/>
      <c r="F995" s="3"/>
      <c r="G995" s="3"/>
      <c r="H995" s="10"/>
      <c r="I995" s="10"/>
      <c r="J995" s="10"/>
    </row>
    <row r="996" spans="2:10">
      <c r="B996" s="2"/>
      <c r="E996" s="3"/>
      <c r="F996" s="3"/>
      <c r="G996" s="3"/>
      <c r="H996" s="10"/>
      <c r="I996" s="10"/>
      <c r="J996" s="10"/>
    </row>
    <row r="997" spans="2:10">
      <c r="B997" s="2"/>
      <c r="E997" s="3"/>
      <c r="F997" s="3"/>
      <c r="G997" s="3"/>
      <c r="H997" s="10"/>
      <c r="I997" s="10"/>
      <c r="J997" s="10"/>
    </row>
    <row r="998" spans="2:10">
      <c r="B998" s="2"/>
      <c r="E998" s="3"/>
      <c r="F998" s="3"/>
      <c r="G998" s="3"/>
      <c r="H998" s="10"/>
      <c r="I998" s="10"/>
      <c r="J998" s="10"/>
    </row>
    <row r="999" spans="2:10">
      <c r="B999" s="2"/>
      <c r="E999" s="3"/>
      <c r="F999" s="3"/>
      <c r="G999" s="3"/>
      <c r="H999" s="10"/>
      <c r="I999" s="10"/>
      <c r="J999" s="10"/>
    </row>
    <row r="1000" spans="2:10">
      <c r="B1000" s="2"/>
      <c r="E1000" s="3"/>
      <c r="F1000" s="3"/>
      <c r="G1000" s="3"/>
      <c r="H1000" s="10"/>
      <c r="I1000" s="10"/>
      <c r="J1000" s="10"/>
    </row>
    <row r="1001" spans="2:10">
      <c r="B1001" s="2"/>
      <c r="E1001" s="3"/>
      <c r="F1001" s="3"/>
      <c r="G1001" s="3"/>
      <c r="H1001" s="10"/>
      <c r="I1001" s="10"/>
      <c r="J1001" s="10"/>
    </row>
    <row r="1002" spans="2:10">
      <c r="B1002" s="2"/>
      <c r="E1002" s="3"/>
      <c r="F1002" s="3"/>
      <c r="G1002" s="3"/>
      <c r="H1002" s="10"/>
      <c r="I1002" s="10"/>
      <c r="J1002" s="10"/>
    </row>
    <row r="1003" spans="2:10">
      <c r="B1003" s="2"/>
      <c r="E1003" s="3"/>
      <c r="F1003" s="3"/>
      <c r="G1003" s="3"/>
      <c r="H1003" s="10"/>
      <c r="I1003" s="10"/>
      <c r="J1003" s="10"/>
    </row>
    <row r="1004" spans="2:10">
      <c r="B1004" s="2"/>
      <c r="E1004" s="3"/>
      <c r="F1004" s="3"/>
      <c r="G1004" s="3"/>
      <c r="H1004" s="10"/>
      <c r="I1004" s="10"/>
      <c r="J1004" s="10"/>
    </row>
    <row r="1005" spans="2:10">
      <c r="B1005" s="2"/>
      <c r="E1005" s="3"/>
      <c r="F1005" s="3"/>
      <c r="G1005" s="3"/>
      <c r="H1005" s="10"/>
      <c r="I1005" s="10"/>
      <c r="J1005" s="10"/>
    </row>
    <row r="1006" spans="2:10">
      <c r="B1006" s="2"/>
      <c r="E1006" s="3"/>
      <c r="F1006" s="3"/>
      <c r="G1006" s="3"/>
      <c r="H1006" s="10"/>
      <c r="I1006" s="10"/>
      <c r="J1006" s="10"/>
    </row>
    <row r="1007" spans="2:10">
      <c r="B1007" s="2"/>
      <c r="E1007" s="3"/>
      <c r="F1007" s="3"/>
      <c r="G1007" s="3"/>
      <c r="H1007" s="10"/>
      <c r="I1007" s="10"/>
      <c r="J1007" s="10"/>
    </row>
    <row r="1008" spans="2:10">
      <c r="B1008" s="2"/>
      <c r="E1008" s="3"/>
      <c r="F1008" s="3"/>
      <c r="G1008" s="3"/>
      <c r="H1008" s="10"/>
      <c r="I1008" s="10"/>
      <c r="J1008" s="10"/>
    </row>
    <row r="1009" spans="2:10">
      <c r="B1009" s="2"/>
      <c r="E1009" s="3"/>
      <c r="F1009" s="3"/>
      <c r="G1009" s="3"/>
      <c r="H1009" s="10"/>
      <c r="I1009" s="10"/>
      <c r="J1009" s="10"/>
    </row>
    <row r="1010" spans="2:10">
      <c r="B1010" s="2"/>
      <c r="E1010" s="3"/>
      <c r="F1010" s="3"/>
      <c r="G1010" s="3"/>
      <c r="H1010" s="10"/>
      <c r="I1010" s="10"/>
      <c r="J1010" s="10"/>
    </row>
    <row r="1011" spans="2:10">
      <c r="B1011" s="2"/>
      <c r="E1011" s="3"/>
      <c r="F1011" s="3"/>
      <c r="G1011" s="3"/>
      <c r="H1011" s="10"/>
      <c r="I1011" s="10"/>
      <c r="J1011" s="10"/>
    </row>
    <row r="1012" spans="2:10">
      <c r="B1012" s="2"/>
      <c r="E1012" s="3"/>
      <c r="F1012" s="3"/>
      <c r="G1012" s="3"/>
      <c r="H1012" s="10"/>
      <c r="I1012" s="10"/>
      <c r="J1012" s="10"/>
    </row>
    <row r="1013" spans="2:10">
      <c r="B1013" s="2"/>
      <c r="E1013" s="3"/>
      <c r="F1013" s="3"/>
      <c r="G1013" s="3"/>
      <c r="H1013" s="10"/>
      <c r="I1013" s="10"/>
      <c r="J1013" s="10"/>
    </row>
    <row r="1014" spans="2:10">
      <c r="B1014" s="2"/>
      <c r="E1014" s="3"/>
      <c r="F1014" s="3"/>
      <c r="G1014" s="3"/>
      <c r="H1014" s="10"/>
      <c r="I1014" s="10"/>
      <c r="J1014" s="10"/>
    </row>
    <row r="1015" spans="2:10">
      <c r="B1015" s="2"/>
      <c r="E1015" s="3"/>
      <c r="F1015" s="3"/>
      <c r="G1015" s="3"/>
      <c r="H1015" s="10"/>
      <c r="I1015" s="10"/>
      <c r="J1015" s="10"/>
    </row>
    <row r="1016" spans="2:10">
      <c r="B1016" s="2"/>
      <c r="E1016" s="3"/>
      <c r="F1016" s="3"/>
      <c r="G1016" s="3"/>
      <c r="H1016" s="10"/>
      <c r="I1016" s="10"/>
      <c r="J1016" s="10"/>
    </row>
    <row r="1017" spans="2:10">
      <c r="B1017" s="2"/>
      <c r="E1017" s="3"/>
      <c r="F1017" s="3"/>
      <c r="G1017" s="3"/>
      <c r="H1017" s="10"/>
      <c r="I1017" s="10"/>
      <c r="J1017" s="10"/>
    </row>
    <row r="1018" spans="2:10">
      <c r="B1018" s="2"/>
      <c r="E1018" s="3"/>
      <c r="F1018" s="3"/>
      <c r="G1018" s="3"/>
      <c r="H1018" s="10"/>
      <c r="I1018" s="10"/>
      <c r="J1018" s="10"/>
    </row>
    <row r="1019" spans="2:10">
      <c r="B1019" s="2"/>
      <c r="E1019" s="3"/>
      <c r="F1019" s="3"/>
      <c r="G1019" s="3"/>
      <c r="H1019" s="10"/>
      <c r="I1019" s="10"/>
      <c r="J1019" s="10"/>
    </row>
    <row r="1020" spans="2:10">
      <c r="B1020" s="2"/>
      <c r="E1020" s="3"/>
      <c r="F1020" s="3"/>
      <c r="G1020" s="3"/>
      <c r="H1020" s="10"/>
      <c r="I1020" s="10"/>
      <c r="J1020" s="10"/>
    </row>
    <row r="1021" spans="2:10">
      <c r="B1021" s="2"/>
      <c r="E1021" s="3"/>
      <c r="F1021" s="3"/>
      <c r="G1021" s="3"/>
      <c r="H1021" s="10"/>
      <c r="I1021" s="10"/>
      <c r="J1021" s="10"/>
    </row>
    <row r="1022" spans="2:10">
      <c r="B1022" s="2"/>
      <c r="E1022" s="3"/>
      <c r="F1022" s="3"/>
      <c r="G1022" s="3"/>
      <c r="H1022" s="10"/>
      <c r="I1022" s="10"/>
      <c r="J1022" s="10"/>
    </row>
    <row r="1023" spans="2:10">
      <c r="B1023" s="2"/>
      <c r="E1023" s="3"/>
      <c r="F1023" s="3"/>
      <c r="G1023" s="3"/>
      <c r="H1023" s="10"/>
      <c r="I1023" s="10"/>
      <c r="J1023" s="10"/>
    </row>
    <row r="1024" spans="2:10">
      <c r="B1024" s="2"/>
      <c r="E1024" s="3"/>
      <c r="F1024" s="3"/>
      <c r="G1024" s="3"/>
      <c r="H1024" s="10"/>
      <c r="I1024" s="10"/>
      <c r="J1024" s="10"/>
    </row>
    <row r="1025" spans="2:10">
      <c r="B1025" s="2"/>
      <c r="E1025" s="3"/>
      <c r="F1025" s="3"/>
      <c r="G1025" s="3"/>
      <c r="H1025" s="10"/>
      <c r="I1025" s="10"/>
      <c r="J1025" s="10"/>
    </row>
    <row r="1026" spans="2:10">
      <c r="B1026" s="2"/>
      <c r="E1026" s="3"/>
      <c r="F1026" s="3"/>
      <c r="G1026" s="3"/>
      <c r="H1026" s="10"/>
      <c r="I1026" s="10"/>
      <c r="J1026" s="10"/>
    </row>
    <row r="1027" spans="2:10">
      <c r="B1027" s="2"/>
      <c r="E1027" s="3"/>
      <c r="F1027" s="3"/>
      <c r="G1027" s="3"/>
      <c r="H1027" s="10"/>
      <c r="I1027" s="10"/>
      <c r="J1027" s="10"/>
    </row>
    <row r="1028" spans="2:10">
      <c r="B1028" s="2"/>
      <c r="E1028" s="3"/>
      <c r="F1028" s="3"/>
      <c r="G1028" s="3"/>
      <c r="H1028" s="10"/>
      <c r="I1028" s="10"/>
      <c r="J1028" s="10"/>
    </row>
    <row r="1029" spans="2:10">
      <c r="B1029" s="2"/>
      <c r="E1029" s="3"/>
      <c r="F1029" s="3"/>
      <c r="G1029" s="3"/>
      <c r="H1029" s="10"/>
      <c r="I1029" s="10"/>
      <c r="J1029" s="10"/>
    </row>
    <row r="1030" spans="2:10">
      <c r="B1030" s="2"/>
      <c r="E1030" s="3"/>
      <c r="F1030" s="3"/>
      <c r="G1030" s="3"/>
      <c r="H1030" s="10"/>
      <c r="I1030" s="10"/>
      <c r="J1030" s="10"/>
    </row>
    <row r="1031" spans="2:10">
      <c r="B1031" s="2"/>
      <c r="E1031" s="3"/>
      <c r="F1031" s="3"/>
      <c r="G1031" s="3"/>
      <c r="H1031" s="10"/>
      <c r="I1031" s="10"/>
      <c r="J1031" s="10"/>
    </row>
    <row r="1032" spans="2:10">
      <c r="B1032" s="2"/>
      <c r="E1032" s="3"/>
      <c r="F1032" s="3"/>
      <c r="G1032" s="3"/>
      <c r="H1032" s="10"/>
      <c r="I1032" s="10"/>
      <c r="J1032" s="10"/>
    </row>
    <row r="1033" spans="2:10">
      <c r="B1033" s="2"/>
      <c r="E1033" s="3"/>
      <c r="F1033" s="3"/>
      <c r="G1033" s="3"/>
      <c r="H1033" s="10"/>
      <c r="I1033" s="10"/>
      <c r="J1033" s="10"/>
    </row>
    <row r="1034" spans="2:10">
      <c r="B1034" s="2"/>
      <c r="E1034" s="3"/>
      <c r="F1034" s="3"/>
      <c r="G1034" s="3"/>
      <c r="H1034" s="10"/>
      <c r="I1034" s="10"/>
      <c r="J1034" s="10"/>
    </row>
    <row r="1035" spans="2:10">
      <c r="B1035" s="2"/>
      <c r="E1035" s="3"/>
      <c r="F1035" s="3"/>
      <c r="G1035" s="3"/>
      <c r="H1035" s="10"/>
      <c r="I1035" s="10"/>
      <c r="J1035" s="10"/>
    </row>
    <row r="1036" spans="2:10">
      <c r="B1036" s="2"/>
      <c r="E1036" s="3"/>
      <c r="F1036" s="3"/>
      <c r="G1036" s="3"/>
      <c r="H1036" s="10"/>
      <c r="I1036" s="10"/>
      <c r="J1036" s="10"/>
    </row>
    <row r="1037" spans="2:10">
      <c r="B1037" s="2"/>
      <c r="E1037" s="3"/>
      <c r="F1037" s="3"/>
      <c r="G1037" s="3"/>
      <c r="H1037" s="10"/>
      <c r="I1037" s="10"/>
      <c r="J1037" s="10"/>
    </row>
    <row r="1038" spans="2:10">
      <c r="B1038" s="2"/>
      <c r="E1038" s="3"/>
      <c r="F1038" s="3"/>
      <c r="G1038" s="3"/>
      <c r="H1038" s="10"/>
      <c r="I1038" s="10"/>
      <c r="J1038" s="10"/>
    </row>
    <row r="1039" spans="2:10">
      <c r="B1039" s="2"/>
      <c r="E1039" s="3"/>
      <c r="F1039" s="3"/>
      <c r="G1039" s="3"/>
      <c r="H1039" s="10"/>
      <c r="I1039" s="10"/>
      <c r="J1039" s="10"/>
    </row>
    <row r="1040" spans="2:10">
      <c r="B1040" s="2"/>
      <c r="E1040" s="3"/>
      <c r="F1040" s="3"/>
      <c r="G1040" s="3"/>
      <c r="H1040" s="10"/>
      <c r="I1040" s="10"/>
      <c r="J1040" s="10"/>
    </row>
    <row r="1041" spans="2:10">
      <c r="B1041" s="2"/>
      <c r="E1041" s="3"/>
      <c r="F1041" s="3"/>
      <c r="G1041" s="3"/>
      <c r="H1041" s="10"/>
      <c r="I1041" s="10"/>
      <c r="J1041" s="10"/>
    </row>
    <row r="1042" spans="2:10">
      <c r="B1042" s="2"/>
      <c r="E1042" s="3"/>
      <c r="F1042" s="3"/>
      <c r="G1042" s="3"/>
      <c r="H1042" s="10"/>
      <c r="I1042" s="10"/>
      <c r="J1042" s="10"/>
    </row>
    <row r="1043" spans="2:10">
      <c r="B1043" s="2"/>
      <c r="E1043" s="3"/>
      <c r="F1043" s="3"/>
      <c r="G1043" s="3"/>
      <c r="H1043" s="10"/>
      <c r="I1043" s="10"/>
      <c r="J1043" s="10"/>
    </row>
    <row r="1044" spans="2:10">
      <c r="B1044" s="2"/>
      <c r="E1044" s="3"/>
      <c r="F1044" s="3"/>
      <c r="G1044" s="3"/>
      <c r="H1044" s="10"/>
      <c r="I1044" s="10"/>
      <c r="J1044" s="10"/>
    </row>
    <row r="1045" spans="2:10">
      <c r="B1045" s="2"/>
      <c r="E1045" s="3"/>
      <c r="F1045" s="3"/>
      <c r="G1045" s="3"/>
      <c r="H1045" s="10"/>
      <c r="I1045" s="10"/>
      <c r="J1045" s="10"/>
    </row>
    <row r="1046" spans="2:10">
      <c r="B1046" s="2"/>
      <c r="E1046" s="3"/>
      <c r="F1046" s="3"/>
      <c r="G1046" s="3"/>
      <c r="H1046" s="10"/>
      <c r="I1046" s="10"/>
      <c r="J1046" s="10"/>
    </row>
    <row r="1047" spans="2:10">
      <c r="B1047" s="2"/>
      <c r="E1047" s="3"/>
      <c r="F1047" s="3"/>
      <c r="G1047" s="3"/>
      <c r="H1047" s="10"/>
      <c r="I1047" s="10"/>
      <c r="J1047" s="10"/>
    </row>
    <row r="1048" spans="2:10">
      <c r="B1048" s="2"/>
      <c r="E1048" s="3"/>
      <c r="F1048" s="3"/>
      <c r="G1048" s="3"/>
      <c r="H1048" s="10"/>
      <c r="I1048" s="10"/>
      <c r="J1048" s="10"/>
    </row>
    <row r="1049" spans="2:10">
      <c r="B1049" s="2"/>
      <c r="E1049" s="3"/>
      <c r="F1049" s="3"/>
      <c r="G1049" s="3"/>
      <c r="H1049" s="10"/>
      <c r="I1049" s="10"/>
      <c r="J1049" s="10"/>
    </row>
    <row r="1050" spans="2:10">
      <c r="B1050" s="2"/>
      <c r="E1050" s="3"/>
      <c r="F1050" s="3"/>
      <c r="G1050" s="3"/>
      <c r="H1050" s="10"/>
      <c r="I1050" s="10"/>
      <c r="J1050" s="10"/>
    </row>
    <row r="1051" spans="2:10">
      <c r="B1051" s="2"/>
      <c r="E1051" s="3"/>
      <c r="F1051" s="3"/>
      <c r="G1051" s="3"/>
      <c r="H1051" s="10"/>
      <c r="I1051" s="10"/>
      <c r="J1051" s="10"/>
    </row>
    <row r="1052" spans="2:10">
      <c r="B1052" s="2"/>
      <c r="E1052" s="3"/>
      <c r="F1052" s="3"/>
      <c r="G1052" s="3"/>
      <c r="H1052" s="10"/>
      <c r="I1052" s="10"/>
      <c r="J1052" s="10"/>
    </row>
    <row r="1053" spans="2:10">
      <c r="B1053" s="2"/>
      <c r="E1053" s="3"/>
      <c r="F1053" s="3"/>
      <c r="G1053" s="3"/>
      <c r="H1053" s="10"/>
      <c r="I1053" s="10"/>
      <c r="J1053" s="10"/>
    </row>
    <row r="1054" spans="2:10">
      <c r="B1054" s="2"/>
      <c r="E1054" s="3"/>
      <c r="F1054" s="3"/>
      <c r="G1054" s="3"/>
      <c r="H1054" s="10"/>
      <c r="I1054" s="10"/>
      <c r="J1054" s="10"/>
    </row>
    <row r="1055" spans="2:10">
      <c r="B1055" s="2"/>
      <c r="E1055" s="3"/>
      <c r="F1055" s="3"/>
      <c r="G1055" s="3"/>
      <c r="H1055" s="10"/>
      <c r="I1055" s="10"/>
      <c r="J1055" s="10"/>
    </row>
    <row r="1056" spans="2:10">
      <c r="B1056" s="2"/>
      <c r="E1056" s="3"/>
      <c r="F1056" s="3"/>
      <c r="G1056" s="3"/>
      <c r="H1056" s="10"/>
      <c r="I1056" s="10"/>
      <c r="J1056" s="10"/>
    </row>
    <row r="1057" spans="2:10">
      <c r="B1057" s="2"/>
      <c r="E1057" s="3"/>
      <c r="F1057" s="3"/>
      <c r="G1057" s="3"/>
      <c r="H1057" s="10"/>
      <c r="I1057" s="10"/>
      <c r="J1057" s="10"/>
    </row>
    <row r="1058" spans="2:10">
      <c r="B1058" s="2"/>
      <c r="E1058" s="3"/>
      <c r="F1058" s="3"/>
      <c r="G1058" s="3"/>
      <c r="H1058" s="10"/>
      <c r="I1058" s="10"/>
      <c r="J1058" s="10"/>
    </row>
    <row r="1059" spans="2:10">
      <c r="B1059" s="2"/>
      <c r="E1059" s="3"/>
      <c r="F1059" s="3"/>
      <c r="G1059" s="3"/>
      <c r="H1059" s="10"/>
      <c r="I1059" s="10"/>
      <c r="J1059" s="10"/>
    </row>
    <row r="1060" spans="2:10">
      <c r="B1060" s="2"/>
      <c r="E1060" s="3"/>
      <c r="F1060" s="3"/>
      <c r="G1060" s="3"/>
      <c r="H1060" s="10"/>
      <c r="I1060" s="10"/>
      <c r="J1060" s="10"/>
    </row>
    <row r="1061" spans="2:10">
      <c r="B1061" s="2"/>
      <c r="E1061" s="3"/>
      <c r="F1061" s="3"/>
      <c r="G1061" s="3"/>
      <c r="H1061" s="10"/>
      <c r="I1061" s="10"/>
      <c r="J1061" s="10"/>
    </row>
    <row r="1062" spans="2:10">
      <c r="B1062" s="2"/>
      <c r="E1062" s="3"/>
      <c r="F1062" s="3"/>
      <c r="G1062" s="3"/>
      <c r="H1062" s="10"/>
      <c r="I1062" s="10"/>
      <c r="J1062" s="10"/>
    </row>
    <row r="1063" spans="2:10">
      <c r="B1063" s="2"/>
      <c r="E1063" s="3"/>
      <c r="F1063" s="3"/>
      <c r="G1063" s="3"/>
      <c r="H1063" s="10"/>
      <c r="I1063" s="10"/>
      <c r="J1063" s="10"/>
    </row>
    <row r="1064" spans="2:10">
      <c r="B1064" s="2"/>
      <c r="E1064" s="3"/>
      <c r="F1064" s="3"/>
      <c r="G1064" s="3"/>
      <c r="H1064" s="10"/>
      <c r="I1064" s="10"/>
      <c r="J1064" s="10"/>
    </row>
    <row r="1065" spans="2:10">
      <c r="B1065" s="2"/>
      <c r="E1065" s="3"/>
      <c r="F1065" s="3"/>
      <c r="G1065" s="3"/>
      <c r="H1065" s="10"/>
      <c r="I1065" s="10"/>
      <c r="J1065" s="10"/>
    </row>
    <row r="1066" spans="2:10">
      <c r="B1066" s="2"/>
      <c r="E1066" s="3"/>
      <c r="F1066" s="3"/>
      <c r="G1066" s="3"/>
      <c r="H1066" s="10"/>
      <c r="I1066" s="10"/>
      <c r="J1066" s="10"/>
    </row>
    <row r="1067" spans="2:10">
      <c r="B1067" s="2"/>
      <c r="E1067" s="3"/>
      <c r="F1067" s="3"/>
      <c r="G1067" s="3"/>
      <c r="H1067" s="10"/>
      <c r="I1067" s="10"/>
      <c r="J1067" s="10"/>
    </row>
    <row r="1068" spans="2:10">
      <c r="B1068" s="2"/>
      <c r="E1068" s="3"/>
      <c r="F1068" s="3"/>
      <c r="G1068" s="3"/>
      <c r="H1068" s="10"/>
      <c r="I1068" s="10"/>
      <c r="J1068" s="10"/>
    </row>
    <row r="1069" spans="2:10">
      <c r="B1069" s="2"/>
      <c r="E1069" s="3"/>
      <c r="F1069" s="3"/>
      <c r="G1069" s="3"/>
      <c r="H1069" s="10"/>
      <c r="I1069" s="10"/>
      <c r="J1069" s="10"/>
    </row>
    <row r="1070" spans="2:10">
      <c r="B1070" s="2"/>
      <c r="E1070" s="3"/>
      <c r="F1070" s="3"/>
      <c r="G1070" s="3"/>
      <c r="H1070" s="10"/>
      <c r="I1070" s="10"/>
      <c r="J1070" s="10"/>
    </row>
    <row r="1071" spans="2:10">
      <c r="B1071" s="2"/>
      <c r="E1071" s="3"/>
      <c r="F1071" s="3"/>
      <c r="G1071" s="3"/>
      <c r="H1071" s="10"/>
      <c r="I1071" s="10"/>
      <c r="J1071" s="10"/>
    </row>
    <row r="1072" spans="2:10">
      <c r="B1072" s="2"/>
      <c r="E1072" s="3"/>
      <c r="F1072" s="3"/>
      <c r="G1072" s="3"/>
      <c r="H1072" s="10"/>
      <c r="I1072" s="10"/>
      <c r="J1072" s="10"/>
    </row>
    <row r="1073" spans="2:10">
      <c r="B1073" s="2"/>
      <c r="E1073" s="3"/>
      <c r="F1073" s="3"/>
      <c r="G1073" s="3"/>
      <c r="H1073" s="10"/>
      <c r="I1073" s="10"/>
      <c r="J1073" s="10"/>
    </row>
    <row r="1074" spans="2:10">
      <c r="B1074" s="2"/>
      <c r="E1074" s="3"/>
      <c r="F1074" s="3"/>
      <c r="G1074" s="3"/>
      <c r="H1074" s="10"/>
      <c r="I1074" s="10"/>
      <c r="J1074" s="10"/>
    </row>
    <row r="1075" spans="2:10">
      <c r="B1075" s="2"/>
      <c r="E1075" s="3"/>
      <c r="F1075" s="3"/>
      <c r="G1075" s="3"/>
      <c r="H1075" s="10"/>
      <c r="I1075" s="10"/>
      <c r="J1075" s="10"/>
    </row>
    <row r="1076" spans="2:10">
      <c r="B1076" s="2"/>
      <c r="E1076" s="3"/>
      <c r="F1076" s="3"/>
      <c r="G1076" s="3"/>
      <c r="H1076" s="10"/>
      <c r="I1076" s="10"/>
      <c r="J1076" s="10"/>
    </row>
    <row r="1077" spans="2:10">
      <c r="B1077" s="2"/>
      <c r="E1077" s="3"/>
      <c r="F1077" s="3"/>
      <c r="G1077" s="3"/>
      <c r="H1077" s="10"/>
      <c r="I1077" s="10"/>
      <c r="J1077" s="10"/>
    </row>
    <row r="1078" spans="2:10">
      <c r="B1078" s="2"/>
      <c r="E1078" s="3"/>
      <c r="F1078" s="3"/>
      <c r="G1078" s="3"/>
      <c r="H1078" s="10"/>
      <c r="I1078" s="10"/>
      <c r="J1078" s="10"/>
    </row>
    <row r="1079" spans="2:10">
      <c r="B1079" s="2"/>
      <c r="E1079" s="3"/>
      <c r="F1079" s="3"/>
      <c r="G1079" s="3"/>
      <c r="H1079" s="10"/>
      <c r="I1079" s="10"/>
      <c r="J1079" s="10"/>
    </row>
    <row r="1080" spans="2:10">
      <c r="B1080" s="2"/>
      <c r="E1080" s="3"/>
      <c r="F1080" s="3"/>
      <c r="G1080" s="3"/>
      <c r="H1080" s="10"/>
      <c r="I1080" s="10"/>
      <c r="J1080" s="10"/>
    </row>
    <row r="1081" spans="2:10">
      <c r="B1081" s="2"/>
      <c r="E1081" s="3"/>
      <c r="F1081" s="3"/>
      <c r="G1081" s="3"/>
      <c r="H1081" s="10"/>
      <c r="I1081" s="10"/>
      <c r="J1081" s="10"/>
    </row>
    <row r="1082" spans="2:10">
      <c r="B1082" s="2"/>
      <c r="E1082" s="3"/>
      <c r="F1082" s="3"/>
      <c r="G1082" s="3"/>
      <c r="H1082" s="10"/>
      <c r="I1082" s="10"/>
      <c r="J1082" s="10"/>
    </row>
    <row r="1083" spans="2:10">
      <c r="B1083" s="2"/>
      <c r="E1083" s="3"/>
      <c r="F1083" s="3"/>
      <c r="G1083" s="3"/>
      <c r="H1083" s="10"/>
      <c r="I1083" s="10"/>
      <c r="J1083" s="10"/>
    </row>
    <row r="1084" spans="2:10">
      <c r="B1084" s="2"/>
      <c r="E1084" s="3"/>
      <c r="F1084" s="3"/>
      <c r="G1084" s="3"/>
      <c r="H1084" s="10"/>
      <c r="I1084" s="10"/>
      <c r="J1084" s="10"/>
    </row>
    <row r="1085" spans="2:10">
      <c r="B1085" s="2"/>
      <c r="E1085" s="3"/>
      <c r="F1085" s="3"/>
      <c r="G1085" s="3"/>
      <c r="H1085" s="10"/>
      <c r="I1085" s="10"/>
      <c r="J1085" s="10"/>
    </row>
    <row r="1086" spans="2:10">
      <c r="B1086" s="2"/>
      <c r="E1086" s="3"/>
      <c r="F1086" s="3"/>
      <c r="G1086" s="3"/>
      <c r="H1086" s="10"/>
      <c r="I1086" s="10"/>
      <c r="J1086" s="10"/>
    </row>
    <row r="1087" spans="2:10">
      <c r="B1087" s="2"/>
      <c r="E1087" s="3"/>
      <c r="F1087" s="3"/>
      <c r="G1087" s="3"/>
      <c r="H1087" s="10"/>
      <c r="I1087" s="10"/>
      <c r="J1087" s="10"/>
    </row>
    <row r="1088" spans="2:10">
      <c r="B1088" s="2"/>
      <c r="E1088" s="3"/>
      <c r="F1088" s="3"/>
      <c r="G1088" s="3"/>
      <c r="H1088" s="10"/>
      <c r="I1088" s="10"/>
      <c r="J1088" s="10"/>
    </row>
    <row r="1089" spans="2:10">
      <c r="B1089" s="2"/>
      <c r="E1089" s="3"/>
      <c r="F1089" s="3"/>
      <c r="G1089" s="3"/>
      <c r="H1089" s="10"/>
      <c r="I1089" s="10"/>
      <c r="J1089" s="10"/>
    </row>
    <row r="1090" spans="2:10">
      <c r="B1090" s="2"/>
      <c r="E1090" s="3"/>
      <c r="F1090" s="3"/>
      <c r="G1090" s="3"/>
      <c r="H1090" s="10"/>
      <c r="I1090" s="10"/>
      <c r="J1090" s="10"/>
    </row>
    <row r="1091" spans="2:10">
      <c r="B1091" s="2"/>
      <c r="E1091" s="3"/>
      <c r="F1091" s="3"/>
      <c r="G1091" s="3"/>
      <c r="H1091" s="10"/>
      <c r="I1091" s="10"/>
      <c r="J1091" s="10"/>
    </row>
    <row r="1092" spans="2:10">
      <c r="B1092" s="2"/>
      <c r="E1092" s="3"/>
      <c r="F1092" s="3"/>
      <c r="G1092" s="3"/>
      <c r="H1092" s="10"/>
      <c r="I1092" s="10"/>
      <c r="J1092" s="10"/>
    </row>
    <row r="1093" spans="2:10">
      <c r="B1093" s="2"/>
      <c r="E1093" s="3"/>
      <c r="F1093" s="3"/>
      <c r="G1093" s="3"/>
      <c r="H1093" s="10"/>
      <c r="I1093" s="10"/>
      <c r="J1093" s="10"/>
    </row>
    <row r="1094" spans="2:10">
      <c r="B1094" s="2"/>
      <c r="E1094" s="3"/>
      <c r="F1094" s="3"/>
      <c r="G1094" s="3"/>
      <c r="H1094" s="10"/>
      <c r="I1094" s="10"/>
      <c r="J1094" s="10"/>
    </row>
    <row r="1095" spans="2:10">
      <c r="B1095" s="2"/>
      <c r="E1095" s="3"/>
      <c r="F1095" s="3"/>
      <c r="G1095" s="3"/>
      <c r="H1095" s="10"/>
      <c r="I1095" s="10"/>
      <c r="J1095" s="10"/>
    </row>
    <row r="1096" spans="2:10">
      <c r="B1096" s="2"/>
      <c r="E1096" s="3"/>
      <c r="F1096" s="3"/>
      <c r="G1096" s="3"/>
      <c r="H1096" s="10"/>
      <c r="I1096" s="10"/>
      <c r="J1096" s="10"/>
    </row>
    <row r="1097" spans="2:10">
      <c r="B1097" s="2"/>
      <c r="E1097" s="3"/>
      <c r="F1097" s="3"/>
      <c r="G1097" s="3"/>
      <c r="H1097" s="10"/>
      <c r="I1097" s="10"/>
      <c r="J1097" s="10"/>
    </row>
    <row r="1098" spans="2:10">
      <c r="B1098" s="2"/>
      <c r="E1098" s="3"/>
      <c r="F1098" s="3"/>
      <c r="G1098" s="3"/>
      <c r="H1098" s="10"/>
      <c r="I1098" s="10"/>
      <c r="J1098" s="10"/>
    </row>
    <row r="1099" spans="2:10">
      <c r="B1099" s="2"/>
      <c r="E1099" s="3"/>
      <c r="F1099" s="3"/>
      <c r="G1099" s="3"/>
      <c r="H1099" s="10"/>
      <c r="I1099" s="10"/>
      <c r="J1099" s="10"/>
    </row>
    <row r="1100" spans="2:10">
      <c r="B1100" s="2"/>
      <c r="E1100" s="3"/>
      <c r="F1100" s="3"/>
      <c r="G1100" s="3"/>
      <c r="H1100" s="10"/>
      <c r="I1100" s="10"/>
      <c r="J1100" s="10"/>
    </row>
    <row r="1101" spans="2:10">
      <c r="B1101" s="2"/>
      <c r="E1101" s="3"/>
      <c r="F1101" s="3"/>
      <c r="G1101" s="3"/>
      <c r="H1101" s="10"/>
      <c r="I1101" s="10"/>
      <c r="J1101" s="10"/>
    </row>
    <row r="1102" spans="2:10">
      <c r="B1102" s="2"/>
      <c r="E1102" s="3"/>
      <c r="F1102" s="3"/>
      <c r="G1102" s="3"/>
      <c r="H1102" s="10"/>
      <c r="I1102" s="10"/>
      <c r="J1102" s="10"/>
    </row>
    <row r="1103" spans="2:10">
      <c r="B1103" s="2"/>
      <c r="E1103" s="3"/>
      <c r="F1103" s="3"/>
      <c r="G1103" s="3"/>
      <c r="H1103" s="10"/>
      <c r="I1103" s="10"/>
      <c r="J1103" s="10"/>
    </row>
    <row r="1104" spans="2:10">
      <c r="B1104" s="2"/>
      <c r="E1104" s="3"/>
      <c r="F1104" s="3"/>
      <c r="G1104" s="3"/>
      <c r="H1104" s="10"/>
      <c r="I1104" s="10"/>
      <c r="J1104" s="10"/>
    </row>
    <row r="1105" spans="2:10">
      <c r="B1105" s="2"/>
      <c r="E1105" s="3"/>
      <c r="F1105" s="3"/>
      <c r="G1105" s="3"/>
      <c r="H1105" s="10"/>
      <c r="I1105" s="10"/>
      <c r="J1105" s="10"/>
    </row>
    <row r="1106" spans="2:10">
      <c r="B1106" s="2"/>
      <c r="E1106" s="3"/>
      <c r="F1106" s="3"/>
      <c r="G1106" s="3"/>
      <c r="H1106" s="10"/>
      <c r="I1106" s="10"/>
      <c r="J1106" s="10"/>
    </row>
    <row r="1107" spans="2:10">
      <c r="B1107" s="2"/>
      <c r="E1107" s="3"/>
      <c r="F1107" s="3"/>
      <c r="G1107" s="3"/>
      <c r="H1107" s="10"/>
      <c r="I1107" s="10"/>
      <c r="J1107" s="10"/>
    </row>
    <row r="1108" spans="2:10">
      <c r="B1108" s="2"/>
      <c r="E1108" s="3"/>
      <c r="F1108" s="3"/>
      <c r="G1108" s="3"/>
      <c r="H1108" s="10"/>
      <c r="I1108" s="10"/>
      <c r="J1108" s="10"/>
    </row>
    <row r="1109" spans="2:10">
      <c r="B1109" s="2"/>
      <c r="E1109" s="3"/>
      <c r="F1109" s="3"/>
      <c r="G1109" s="3"/>
      <c r="H1109" s="10"/>
      <c r="I1109" s="10"/>
      <c r="J1109" s="10"/>
    </row>
    <row r="1110" spans="2:10">
      <c r="B1110" s="2"/>
      <c r="E1110" s="3"/>
      <c r="F1110" s="3"/>
      <c r="G1110" s="3"/>
      <c r="H1110" s="10"/>
      <c r="I1110" s="10"/>
      <c r="J1110" s="10"/>
    </row>
    <row r="1111" spans="2:10">
      <c r="B1111" s="2"/>
      <c r="E1111" s="3"/>
      <c r="F1111" s="3"/>
      <c r="G1111" s="3"/>
      <c r="H1111" s="10"/>
      <c r="I1111" s="10"/>
      <c r="J1111" s="10"/>
    </row>
    <row r="1112" spans="2:10">
      <c r="B1112" s="2"/>
      <c r="E1112" s="3"/>
      <c r="F1112" s="3"/>
      <c r="G1112" s="3"/>
      <c r="H1112" s="10"/>
      <c r="I1112" s="10"/>
      <c r="J1112" s="10"/>
    </row>
    <row r="1113" spans="2:10">
      <c r="B1113" s="2"/>
      <c r="E1113" s="3"/>
      <c r="F1113" s="3"/>
      <c r="G1113" s="3"/>
      <c r="H1113" s="10"/>
      <c r="I1113" s="10"/>
      <c r="J1113" s="10"/>
    </row>
    <row r="1114" spans="2:10">
      <c r="B1114" s="2"/>
      <c r="E1114" s="3"/>
      <c r="F1114" s="3"/>
      <c r="G1114" s="3"/>
      <c r="H1114" s="10"/>
      <c r="I1114" s="10"/>
      <c r="J1114" s="10"/>
    </row>
    <row r="1115" spans="2:10">
      <c r="B1115" s="2"/>
      <c r="E1115" s="3"/>
      <c r="F1115" s="3"/>
      <c r="G1115" s="3"/>
      <c r="H1115" s="10"/>
      <c r="I1115" s="10"/>
      <c r="J1115" s="10"/>
    </row>
    <row r="1116" spans="2:10">
      <c r="B1116" s="2"/>
      <c r="E1116" s="3"/>
      <c r="F1116" s="3"/>
      <c r="G1116" s="3"/>
      <c r="H1116" s="10"/>
      <c r="I1116" s="10"/>
      <c r="J1116" s="10"/>
    </row>
    <row r="1117" spans="2:10">
      <c r="B1117" s="2"/>
      <c r="E1117" s="3"/>
      <c r="F1117" s="3"/>
      <c r="G1117" s="3"/>
      <c r="H1117" s="10"/>
      <c r="I1117" s="10"/>
      <c r="J1117" s="10"/>
    </row>
    <row r="1118" spans="2:10">
      <c r="B1118" s="2"/>
      <c r="E1118" s="3"/>
      <c r="F1118" s="3"/>
      <c r="G1118" s="3"/>
      <c r="H1118" s="10"/>
      <c r="I1118" s="10"/>
      <c r="J1118" s="10"/>
    </row>
    <row r="1119" spans="2:10">
      <c r="B1119" s="2"/>
      <c r="E1119" s="3"/>
      <c r="F1119" s="3"/>
      <c r="G1119" s="3"/>
      <c r="H1119" s="10"/>
      <c r="I1119" s="10"/>
      <c r="J1119" s="10"/>
    </row>
    <row r="1120" spans="2:10">
      <c r="B1120" s="2"/>
      <c r="E1120" s="3"/>
      <c r="F1120" s="3"/>
      <c r="G1120" s="3"/>
      <c r="H1120" s="10"/>
      <c r="I1120" s="10"/>
      <c r="J1120" s="10"/>
    </row>
    <row r="1121" spans="2:10">
      <c r="B1121" s="2"/>
      <c r="E1121" s="3"/>
      <c r="F1121" s="3"/>
      <c r="G1121" s="3"/>
      <c r="H1121" s="10"/>
      <c r="I1121" s="10"/>
      <c r="J1121" s="10"/>
    </row>
    <row r="1122" spans="2:10">
      <c r="B1122" s="2"/>
      <c r="E1122" s="3"/>
      <c r="F1122" s="3"/>
      <c r="G1122" s="3"/>
      <c r="H1122" s="10"/>
      <c r="I1122" s="10"/>
      <c r="J1122" s="10"/>
    </row>
    <row r="1123" spans="2:10">
      <c r="B1123" s="2"/>
      <c r="E1123" s="3"/>
      <c r="F1123" s="3"/>
      <c r="G1123" s="3"/>
      <c r="H1123" s="10"/>
      <c r="I1123" s="10"/>
      <c r="J1123" s="10"/>
    </row>
    <row r="1124" spans="2:10">
      <c r="B1124" s="2"/>
      <c r="E1124" s="3"/>
      <c r="F1124" s="3"/>
      <c r="G1124" s="3"/>
      <c r="H1124" s="10"/>
      <c r="I1124" s="10"/>
      <c r="J1124" s="10"/>
    </row>
    <row r="1125" spans="2:10">
      <c r="B1125" s="2"/>
      <c r="E1125" s="3"/>
      <c r="F1125" s="3"/>
      <c r="G1125" s="3"/>
      <c r="H1125" s="10"/>
      <c r="I1125" s="10"/>
      <c r="J1125" s="10"/>
    </row>
    <row r="1126" spans="2:10">
      <c r="B1126" s="2"/>
      <c r="E1126" s="3"/>
      <c r="F1126" s="3"/>
      <c r="G1126" s="3"/>
      <c r="H1126" s="10"/>
      <c r="I1126" s="10"/>
      <c r="J1126" s="10"/>
    </row>
    <row r="1127" spans="2:10">
      <c r="B1127" s="2"/>
      <c r="E1127" s="3"/>
      <c r="F1127" s="3"/>
      <c r="G1127" s="3"/>
      <c r="H1127" s="10"/>
      <c r="I1127" s="10"/>
      <c r="J1127" s="10"/>
    </row>
    <row r="1128" spans="2:10">
      <c r="B1128" s="2"/>
      <c r="E1128" s="3"/>
      <c r="F1128" s="3"/>
      <c r="G1128" s="3"/>
      <c r="H1128" s="10"/>
      <c r="I1128" s="10"/>
      <c r="J1128" s="10"/>
    </row>
    <row r="1129" spans="2:10">
      <c r="B1129" s="2"/>
      <c r="E1129" s="3"/>
      <c r="F1129" s="3"/>
      <c r="G1129" s="3"/>
      <c r="H1129" s="10"/>
      <c r="I1129" s="10"/>
      <c r="J1129" s="10"/>
    </row>
    <row r="1130" spans="2:10">
      <c r="B1130" s="2"/>
      <c r="E1130" s="3"/>
      <c r="F1130" s="3"/>
      <c r="G1130" s="3"/>
      <c r="H1130" s="10"/>
      <c r="I1130" s="10"/>
      <c r="J1130" s="10"/>
    </row>
    <row r="1131" spans="2:10">
      <c r="B1131" s="2"/>
      <c r="E1131" s="3"/>
      <c r="F1131" s="3"/>
      <c r="G1131" s="3"/>
      <c r="H1131" s="10"/>
      <c r="I1131" s="10"/>
      <c r="J1131" s="10"/>
    </row>
    <row r="1132" spans="2:10">
      <c r="B1132" s="2"/>
      <c r="E1132" s="3"/>
      <c r="F1132" s="3"/>
      <c r="G1132" s="3"/>
      <c r="H1132" s="10"/>
      <c r="I1132" s="10"/>
      <c r="J1132" s="10"/>
    </row>
    <row r="1133" spans="2:10">
      <c r="B1133" s="2"/>
      <c r="E1133" s="3"/>
      <c r="F1133" s="3"/>
      <c r="G1133" s="3"/>
      <c r="H1133" s="10"/>
      <c r="I1133" s="10"/>
      <c r="J1133" s="10"/>
    </row>
    <row r="1134" spans="2:10">
      <c r="B1134" s="2"/>
      <c r="E1134" s="3"/>
      <c r="F1134" s="3"/>
      <c r="G1134" s="3"/>
      <c r="H1134" s="10"/>
      <c r="I1134" s="10"/>
      <c r="J1134" s="10"/>
    </row>
    <row r="1135" spans="2:10">
      <c r="B1135" s="2"/>
      <c r="E1135" s="3"/>
      <c r="F1135" s="3"/>
      <c r="G1135" s="3"/>
      <c r="H1135" s="10"/>
      <c r="I1135" s="10"/>
      <c r="J1135" s="10"/>
    </row>
    <row r="1136" spans="2:10">
      <c r="B1136" s="2"/>
      <c r="E1136" s="3"/>
      <c r="F1136" s="3"/>
      <c r="G1136" s="3"/>
      <c r="H1136" s="10"/>
      <c r="I1136" s="10"/>
      <c r="J1136" s="10"/>
    </row>
    <row r="1137" spans="2:10">
      <c r="B1137" s="2"/>
      <c r="E1137" s="3"/>
      <c r="F1137" s="3"/>
      <c r="G1137" s="3"/>
      <c r="H1137" s="10"/>
      <c r="I1137" s="10"/>
      <c r="J1137" s="10"/>
    </row>
    <row r="1138" spans="2:10">
      <c r="B1138" s="2"/>
      <c r="E1138" s="3"/>
      <c r="F1138" s="3"/>
      <c r="G1138" s="3"/>
      <c r="H1138" s="10"/>
      <c r="I1138" s="10"/>
      <c r="J1138" s="10"/>
    </row>
    <row r="1139" spans="2:10">
      <c r="B1139" s="2"/>
      <c r="E1139" s="3"/>
      <c r="F1139" s="3"/>
      <c r="G1139" s="3"/>
      <c r="H1139" s="10"/>
      <c r="I1139" s="10"/>
      <c r="J1139" s="10"/>
    </row>
    <row r="1140" spans="2:10">
      <c r="B1140" s="2"/>
      <c r="E1140" s="3"/>
      <c r="F1140" s="3"/>
      <c r="G1140" s="3"/>
      <c r="H1140" s="10"/>
      <c r="I1140" s="10"/>
      <c r="J1140" s="10"/>
    </row>
    <row r="1141" spans="2:10">
      <c r="B1141" s="2"/>
      <c r="E1141" s="3"/>
      <c r="F1141" s="3"/>
      <c r="G1141" s="3"/>
      <c r="H1141" s="10"/>
      <c r="I1141" s="10"/>
      <c r="J1141" s="10"/>
    </row>
    <row r="1142" spans="2:10">
      <c r="B1142" s="2"/>
      <c r="E1142" s="3"/>
      <c r="F1142" s="3"/>
      <c r="G1142" s="3"/>
      <c r="H1142" s="10"/>
      <c r="I1142" s="10"/>
      <c r="J1142" s="10"/>
    </row>
    <row r="1143" spans="2:10">
      <c r="B1143" s="2"/>
      <c r="E1143" s="3"/>
      <c r="F1143" s="3"/>
      <c r="G1143" s="3"/>
      <c r="H1143" s="10"/>
      <c r="I1143" s="10"/>
      <c r="J1143" s="10"/>
    </row>
    <row r="1144" spans="2:10">
      <c r="B1144" s="2"/>
      <c r="E1144" s="3"/>
      <c r="F1144" s="3"/>
      <c r="G1144" s="3"/>
      <c r="H1144" s="10"/>
      <c r="I1144" s="10"/>
      <c r="J1144" s="10"/>
    </row>
    <row r="1145" spans="2:10">
      <c r="B1145" s="2"/>
      <c r="E1145" s="3"/>
      <c r="F1145" s="3"/>
      <c r="G1145" s="3"/>
      <c r="H1145" s="10"/>
      <c r="I1145" s="10"/>
      <c r="J1145" s="10"/>
    </row>
    <row r="1146" spans="2:10">
      <c r="B1146" s="2"/>
      <c r="E1146" s="3"/>
      <c r="F1146" s="3"/>
      <c r="G1146" s="3"/>
      <c r="H1146" s="10"/>
      <c r="I1146" s="10"/>
      <c r="J1146" s="10"/>
    </row>
    <row r="1147" spans="2:10">
      <c r="B1147" s="2"/>
      <c r="E1147" s="3"/>
      <c r="F1147" s="3"/>
      <c r="G1147" s="3"/>
      <c r="H1147" s="10"/>
      <c r="I1147" s="10"/>
      <c r="J1147" s="10"/>
    </row>
    <row r="1148" spans="2:10">
      <c r="B1148" s="2"/>
      <c r="E1148" s="3"/>
      <c r="F1148" s="3"/>
      <c r="G1148" s="3"/>
      <c r="H1148" s="10"/>
      <c r="I1148" s="10"/>
      <c r="J1148" s="10"/>
    </row>
    <row r="1149" spans="2:10">
      <c r="B1149" s="2"/>
      <c r="E1149" s="3"/>
      <c r="F1149" s="3"/>
      <c r="G1149" s="3"/>
      <c r="H1149" s="10"/>
      <c r="I1149" s="10"/>
      <c r="J1149" s="10"/>
    </row>
    <row r="1150" spans="2:10">
      <c r="B1150" s="2"/>
      <c r="E1150" s="3"/>
      <c r="F1150" s="3"/>
      <c r="G1150" s="3"/>
      <c r="H1150" s="10"/>
      <c r="I1150" s="10"/>
      <c r="J1150" s="10"/>
    </row>
    <row r="1151" spans="2:10">
      <c r="B1151" s="2"/>
      <c r="E1151" s="3"/>
      <c r="F1151" s="3"/>
      <c r="G1151" s="3"/>
      <c r="H1151" s="10"/>
      <c r="I1151" s="10"/>
      <c r="J1151" s="10"/>
    </row>
    <row r="1152" spans="2:10">
      <c r="B1152" s="2"/>
      <c r="E1152" s="3"/>
      <c r="F1152" s="3"/>
      <c r="G1152" s="3"/>
      <c r="H1152" s="10"/>
      <c r="I1152" s="10"/>
      <c r="J1152" s="10"/>
    </row>
    <row r="1153" spans="2:10">
      <c r="B1153" s="2"/>
      <c r="E1153" s="3"/>
      <c r="F1153" s="3"/>
      <c r="G1153" s="3"/>
      <c r="H1153" s="10"/>
      <c r="I1153" s="10"/>
      <c r="J1153" s="10"/>
    </row>
    <row r="1154" spans="2:10">
      <c r="B1154" s="2"/>
      <c r="E1154" s="3"/>
      <c r="F1154" s="3"/>
      <c r="G1154" s="3"/>
      <c r="H1154" s="10"/>
      <c r="I1154" s="10"/>
      <c r="J1154" s="10"/>
    </row>
    <row r="1155" spans="2:10">
      <c r="B1155" s="2"/>
      <c r="E1155" s="3"/>
      <c r="F1155" s="3"/>
      <c r="G1155" s="3"/>
      <c r="H1155" s="10"/>
      <c r="I1155" s="10"/>
      <c r="J1155" s="10"/>
    </row>
    <row r="1156" spans="2:10">
      <c r="B1156" s="2"/>
      <c r="E1156" s="3"/>
      <c r="F1156" s="3"/>
      <c r="G1156" s="3"/>
      <c r="H1156" s="10"/>
      <c r="I1156" s="10"/>
      <c r="J1156" s="10"/>
    </row>
    <row r="1157" spans="2:10">
      <c r="B1157" s="2"/>
      <c r="E1157" s="3"/>
      <c r="F1157" s="3"/>
      <c r="G1157" s="3"/>
      <c r="H1157" s="10"/>
      <c r="I1157" s="10"/>
      <c r="J1157" s="10"/>
    </row>
    <row r="1158" spans="2:10">
      <c r="B1158" s="2"/>
      <c r="E1158" s="3"/>
      <c r="F1158" s="3"/>
      <c r="G1158" s="3"/>
      <c r="H1158" s="10"/>
      <c r="I1158" s="10"/>
      <c r="J1158" s="10"/>
    </row>
    <row r="1159" spans="2:10">
      <c r="B1159" s="2"/>
      <c r="E1159" s="3"/>
      <c r="F1159" s="3"/>
      <c r="G1159" s="3"/>
      <c r="H1159" s="10"/>
      <c r="I1159" s="10"/>
      <c r="J1159" s="10"/>
    </row>
    <row r="1160" spans="2:10">
      <c r="B1160" s="2"/>
      <c r="E1160" s="3"/>
      <c r="F1160" s="3"/>
      <c r="G1160" s="3"/>
      <c r="H1160" s="10"/>
      <c r="I1160" s="10"/>
      <c r="J1160" s="10"/>
    </row>
    <row r="1161" spans="2:10">
      <c r="B1161" s="2"/>
      <c r="E1161" s="3"/>
      <c r="F1161" s="3"/>
      <c r="G1161" s="3"/>
      <c r="H1161" s="10"/>
      <c r="I1161" s="10"/>
      <c r="J1161" s="10"/>
    </row>
    <row r="1162" spans="2:10">
      <c r="B1162" s="2"/>
      <c r="E1162" s="3"/>
      <c r="F1162" s="3"/>
      <c r="G1162" s="3"/>
      <c r="H1162" s="10"/>
      <c r="I1162" s="10"/>
      <c r="J1162" s="10"/>
    </row>
    <row r="1163" spans="2:10">
      <c r="B1163" s="2"/>
      <c r="E1163" s="3"/>
      <c r="F1163" s="3"/>
      <c r="G1163" s="3"/>
      <c r="H1163" s="10"/>
      <c r="I1163" s="10"/>
      <c r="J1163" s="10"/>
    </row>
    <row r="1164" spans="2:10">
      <c r="B1164" s="2"/>
      <c r="E1164" s="3"/>
      <c r="F1164" s="3"/>
      <c r="G1164" s="3"/>
      <c r="H1164" s="10"/>
      <c r="I1164" s="10"/>
      <c r="J1164" s="10"/>
    </row>
    <row r="1165" spans="2:10">
      <c r="B1165" s="2"/>
      <c r="E1165" s="3"/>
      <c r="F1165" s="3"/>
      <c r="G1165" s="3"/>
      <c r="H1165" s="10"/>
      <c r="I1165" s="10"/>
      <c r="J1165" s="10"/>
    </row>
    <row r="1166" spans="2:10">
      <c r="B1166" s="2"/>
      <c r="E1166" s="3"/>
      <c r="F1166" s="3"/>
      <c r="G1166" s="3"/>
      <c r="H1166" s="10"/>
      <c r="I1166" s="10"/>
      <c r="J1166" s="10"/>
    </row>
    <row r="1167" spans="2:10">
      <c r="B1167" s="2"/>
      <c r="E1167" s="3"/>
      <c r="F1167" s="3"/>
      <c r="G1167" s="3"/>
      <c r="H1167" s="10"/>
      <c r="I1167" s="10"/>
      <c r="J1167" s="10"/>
    </row>
    <row r="1168" spans="2:10">
      <c r="B1168" s="2"/>
      <c r="E1168" s="3"/>
      <c r="F1168" s="3"/>
      <c r="G1168" s="3"/>
      <c r="H1168" s="10"/>
      <c r="I1168" s="10"/>
      <c r="J1168" s="10"/>
    </row>
    <row r="1169" spans="2:10">
      <c r="B1169" s="2"/>
      <c r="E1169" s="3"/>
      <c r="F1169" s="3"/>
      <c r="G1169" s="3"/>
      <c r="H1169" s="10"/>
      <c r="I1169" s="10"/>
      <c r="J1169" s="10"/>
    </row>
    <row r="1170" spans="2:10">
      <c r="B1170" s="2"/>
      <c r="E1170" s="3"/>
      <c r="F1170" s="3"/>
      <c r="G1170" s="3"/>
      <c r="H1170" s="10"/>
      <c r="I1170" s="10"/>
      <c r="J1170" s="10"/>
    </row>
    <row r="1171" spans="2:10">
      <c r="B1171" s="2"/>
      <c r="E1171" s="3"/>
      <c r="F1171" s="3"/>
      <c r="G1171" s="3"/>
      <c r="H1171" s="10"/>
      <c r="I1171" s="10"/>
      <c r="J1171" s="10"/>
    </row>
    <row r="1172" spans="2:10">
      <c r="B1172" s="2"/>
      <c r="E1172" s="3"/>
      <c r="F1172" s="3"/>
      <c r="G1172" s="3"/>
      <c r="H1172" s="10"/>
      <c r="I1172" s="10"/>
      <c r="J1172" s="10"/>
    </row>
    <row r="1173" spans="2:10">
      <c r="B1173" s="2"/>
      <c r="E1173" s="3"/>
      <c r="F1173" s="3"/>
      <c r="G1173" s="3"/>
      <c r="H1173" s="10"/>
      <c r="I1173" s="10"/>
      <c r="J1173" s="10"/>
    </row>
    <row r="1174" spans="2:10">
      <c r="B1174" s="2"/>
      <c r="E1174" s="3"/>
      <c r="F1174" s="3"/>
      <c r="G1174" s="3"/>
      <c r="H1174" s="10"/>
      <c r="I1174" s="10"/>
      <c r="J1174" s="10"/>
    </row>
    <row r="1175" spans="2:10">
      <c r="B1175" s="2"/>
      <c r="E1175" s="3"/>
      <c r="F1175" s="3"/>
      <c r="G1175" s="3"/>
      <c r="H1175" s="10"/>
      <c r="I1175" s="10"/>
      <c r="J1175" s="10"/>
    </row>
    <row r="1176" spans="2:10">
      <c r="B1176" s="2"/>
      <c r="E1176" s="3"/>
      <c r="F1176" s="3"/>
      <c r="G1176" s="3"/>
      <c r="H1176" s="10"/>
      <c r="I1176" s="10"/>
      <c r="J1176" s="10"/>
    </row>
    <row r="1177" spans="2:10">
      <c r="B1177" s="2"/>
      <c r="E1177" s="3"/>
      <c r="F1177" s="3"/>
      <c r="G1177" s="3"/>
      <c r="H1177" s="10"/>
      <c r="I1177" s="10"/>
      <c r="J1177" s="10"/>
    </row>
    <row r="1178" spans="2:10">
      <c r="B1178" s="2"/>
      <c r="E1178" s="3"/>
      <c r="F1178" s="3"/>
      <c r="G1178" s="3"/>
      <c r="H1178" s="10"/>
      <c r="I1178" s="10"/>
      <c r="J1178" s="10"/>
    </row>
    <row r="1179" spans="2:10">
      <c r="B1179" s="2"/>
      <c r="E1179" s="3"/>
      <c r="F1179" s="3"/>
      <c r="G1179" s="3"/>
      <c r="H1179" s="10"/>
      <c r="I1179" s="10"/>
      <c r="J1179" s="10"/>
    </row>
    <row r="1180" spans="2:10">
      <c r="B1180" s="2"/>
      <c r="E1180" s="3"/>
      <c r="F1180" s="3"/>
      <c r="G1180" s="3"/>
      <c r="H1180" s="10"/>
      <c r="I1180" s="10"/>
      <c r="J1180" s="10"/>
    </row>
    <row r="1181" spans="2:10">
      <c r="B1181" s="2"/>
      <c r="E1181" s="3"/>
      <c r="F1181" s="3"/>
      <c r="G1181" s="3"/>
      <c r="H1181" s="10"/>
      <c r="I1181" s="10"/>
      <c r="J1181" s="10"/>
    </row>
    <row r="1182" spans="2:10">
      <c r="B1182" s="2"/>
      <c r="E1182" s="3"/>
      <c r="F1182" s="3"/>
      <c r="G1182" s="3"/>
      <c r="H1182" s="10"/>
      <c r="I1182" s="10"/>
      <c r="J1182" s="10"/>
    </row>
    <row r="1183" spans="2:10">
      <c r="B1183" s="2"/>
      <c r="E1183" s="3"/>
      <c r="F1183" s="3"/>
      <c r="G1183" s="3"/>
      <c r="H1183" s="10"/>
      <c r="I1183" s="10"/>
      <c r="J1183" s="10"/>
    </row>
    <row r="1184" spans="2:10">
      <c r="B1184" s="2"/>
      <c r="E1184" s="3"/>
      <c r="F1184" s="3"/>
      <c r="G1184" s="3"/>
      <c r="H1184" s="10"/>
      <c r="I1184" s="10"/>
      <c r="J1184" s="10"/>
    </row>
    <row r="1185" spans="2:10">
      <c r="B1185" s="2"/>
      <c r="E1185" s="3"/>
      <c r="F1185" s="3"/>
      <c r="G1185" s="3"/>
      <c r="H1185" s="10"/>
      <c r="I1185" s="10"/>
      <c r="J1185" s="10"/>
    </row>
    <row r="1186" spans="2:10">
      <c r="B1186" s="2"/>
      <c r="E1186" s="3"/>
      <c r="F1186" s="3"/>
      <c r="G1186" s="3"/>
      <c r="H1186" s="10"/>
      <c r="I1186" s="10"/>
      <c r="J1186" s="10"/>
    </row>
    <row r="1187" spans="2:10">
      <c r="B1187" s="2"/>
      <c r="E1187" s="3"/>
      <c r="F1187" s="3"/>
      <c r="G1187" s="3"/>
      <c r="H1187" s="10"/>
      <c r="I1187" s="10"/>
      <c r="J1187" s="10"/>
    </row>
    <row r="1188" spans="2:10">
      <c r="B1188" s="2"/>
      <c r="E1188" s="3"/>
      <c r="F1188" s="3"/>
      <c r="G1188" s="3"/>
      <c r="H1188" s="10"/>
      <c r="I1188" s="10"/>
      <c r="J1188" s="10"/>
    </row>
    <row r="1189" spans="2:10">
      <c r="B1189" s="2"/>
      <c r="E1189" s="3"/>
      <c r="F1189" s="3"/>
      <c r="G1189" s="3"/>
      <c r="H1189" s="10"/>
      <c r="I1189" s="10"/>
      <c r="J1189" s="10"/>
    </row>
    <row r="1190" spans="2:10">
      <c r="B1190" s="2"/>
      <c r="E1190" s="3"/>
      <c r="F1190" s="3"/>
      <c r="G1190" s="3"/>
      <c r="H1190" s="10"/>
      <c r="I1190" s="10"/>
      <c r="J1190" s="10"/>
    </row>
    <row r="1191" spans="2:10">
      <c r="B1191" s="2"/>
      <c r="E1191" s="3"/>
      <c r="F1191" s="3"/>
      <c r="G1191" s="3"/>
      <c r="H1191" s="10"/>
      <c r="I1191" s="10"/>
      <c r="J1191" s="10"/>
    </row>
    <row r="1192" spans="2:10">
      <c r="B1192" s="2"/>
      <c r="E1192" s="3"/>
      <c r="F1192" s="3"/>
      <c r="G1192" s="3"/>
      <c r="H1192" s="10"/>
      <c r="I1192" s="10"/>
      <c r="J1192" s="10"/>
    </row>
    <row r="1193" spans="2:10">
      <c r="B1193" s="2"/>
      <c r="E1193" s="3"/>
      <c r="F1193" s="3"/>
      <c r="G1193" s="3"/>
      <c r="H1193" s="10"/>
      <c r="I1193" s="10"/>
      <c r="J1193" s="10"/>
    </row>
    <row r="1194" spans="2:10">
      <c r="B1194" s="2"/>
      <c r="E1194" s="3"/>
      <c r="F1194" s="3"/>
      <c r="G1194" s="3"/>
      <c r="H1194" s="10"/>
      <c r="I1194" s="10"/>
      <c r="J1194" s="10"/>
    </row>
    <row r="1195" spans="2:10">
      <c r="B1195" s="2"/>
      <c r="E1195" s="3"/>
      <c r="F1195" s="3"/>
      <c r="G1195" s="3"/>
      <c r="H1195" s="10"/>
      <c r="I1195" s="10"/>
      <c r="J1195" s="10"/>
    </row>
    <row r="1196" spans="2:10">
      <c r="B1196" s="2"/>
      <c r="E1196" s="3"/>
      <c r="F1196" s="3"/>
      <c r="G1196" s="3"/>
      <c r="H1196" s="10"/>
      <c r="I1196" s="10"/>
      <c r="J1196" s="10"/>
    </row>
    <row r="1197" spans="2:10">
      <c r="B1197" s="2"/>
      <c r="E1197" s="3"/>
      <c r="F1197" s="3"/>
      <c r="G1197" s="3"/>
      <c r="H1197" s="10"/>
      <c r="I1197" s="10"/>
      <c r="J1197" s="10"/>
    </row>
    <row r="1198" spans="2:10">
      <c r="B1198" s="2"/>
      <c r="E1198" s="3"/>
      <c r="F1198" s="3"/>
      <c r="G1198" s="3"/>
      <c r="H1198" s="10"/>
      <c r="I1198" s="10"/>
      <c r="J1198" s="10"/>
    </row>
    <row r="1199" spans="2:10">
      <c r="B1199" s="2"/>
      <c r="E1199" s="3"/>
      <c r="F1199" s="3"/>
      <c r="G1199" s="3"/>
      <c r="H1199" s="10"/>
      <c r="I1199" s="10"/>
      <c r="J1199" s="10"/>
    </row>
    <row r="1200" spans="2:10">
      <c r="B1200" s="2"/>
      <c r="E1200" s="3"/>
      <c r="F1200" s="3"/>
      <c r="G1200" s="3"/>
      <c r="H1200" s="10"/>
      <c r="I1200" s="10"/>
      <c r="J1200" s="10"/>
    </row>
    <row r="1201" spans="2:10">
      <c r="B1201" s="2"/>
      <c r="E1201" s="3"/>
      <c r="F1201" s="3"/>
      <c r="G1201" s="3"/>
      <c r="H1201" s="10"/>
      <c r="I1201" s="10"/>
      <c r="J1201" s="10"/>
    </row>
    <row r="1202" spans="2:10">
      <c r="B1202" s="2"/>
      <c r="E1202" s="3"/>
      <c r="F1202" s="3"/>
      <c r="G1202" s="3"/>
      <c r="H1202" s="10"/>
      <c r="I1202" s="10"/>
      <c r="J1202" s="10"/>
    </row>
    <row r="1203" spans="2:10">
      <c r="B1203" s="2"/>
      <c r="E1203" s="3"/>
      <c r="F1203" s="3"/>
      <c r="G1203" s="3"/>
      <c r="H1203" s="10"/>
      <c r="I1203" s="10"/>
      <c r="J1203" s="10"/>
    </row>
    <row r="1204" spans="2:10">
      <c r="B1204" s="2"/>
      <c r="E1204" s="3"/>
      <c r="F1204" s="3"/>
      <c r="G1204" s="3"/>
      <c r="H1204" s="10"/>
      <c r="I1204" s="10"/>
      <c r="J1204" s="10"/>
    </row>
    <row r="1205" spans="2:10">
      <c r="B1205" s="2"/>
      <c r="E1205" s="3"/>
      <c r="F1205" s="3"/>
      <c r="G1205" s="3"/>
      <c r="H1205" s="10"/>
      <c r="I1205" s="10"/>
      <c r="J1205" s="10"/>
    </row>
    <row r="1206" spans="2:10">
      <c r="B1206" s="2"/>
      <c r="E1206" s="3"/>
      <c r="F1206" s="3"/>
      <c r="G1206" s="3"/>
      <c r="H1206" s="10"/>
      <c r="I1206" s="10"/>
      <c r="J1206" s="10"/>
    </row>
    <row r="1207" spans="2:10">
      <c r="B1207" s="2"/>
      <c r="E1207" s="3"/>
      <c r="F1207" s="3"/>
      <c r="G1207" s="3"/>
      <c r="H1207" s="10"/>
      <c r="I1207" s="10"/>
      <c r="J1207" s="10"/>
    </row>
    <row r="1208" spans="2:10">
      <c r="B1208" s="2"/>
      <c r="E1208" s="3"/>
      <c r="F1208" s="3"/>
      <c r="G1208" s="3"/>
      <c r="H1208" s="10"/>
      <c r="I1208" s="10"/>
      <c r="J1208" s="10"/>
    </row>
  </sheetData>
  <autoFilter ref="B2:M761" xr:uid="{AA762548-0A5A-4000-A786-977962F6BC5F}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FD18-A726-4E3A-939A-64D68CBD0C8D}">
  <dimension ref="A1:C18"/>
  <sheetViews>
    <sheetView workbookViewId="0">
      <selection activeCell="E22" sqref="E22"/>
    </sheetView>
  </sheetViews>
  <sheetFormatPr defaultRowHeight="15"/>
  <cols>
    <col min="1" max="1" width="3.28515625" customWidth="1"/>
    <col min="2" max="2" width="28.7109375" bestFit="1" customWidth="1"/>
    <col min="3" max="3" width="20" style="31" bestFit="1" customWidth="1"/>
    <col min="4" max="4" width="44.7109375" bestFit="1" customWidth="1"/>
  </cols>
  <sheetData>
    <row r="1" spans="1:3">
      <c r="A1" s="16" t="s">
        <v>47</v>
      </c>
    </row>
    <row r="2" spans="1:3" ht="15.75" thickBot="1">
      <c r="B2" s="19" t="s">
        <v>3</v>
      </c>
      <c r="C2" s="44" t="s">
        <v>48</v>
      </c>
    </row>
    <row r="3" spans="1:3">
      <c r="B3" t="s">
        <v>49</v>
      </c>
      <c r="C3" s="31">
        <v>15</v>
      </c>
    </row>
    <row r="4" spans="1:3">
      <c r="B4" t="s">
        <v>50</v>
      </c>
      <c r="C4" s="31">
        <v>16</v>
      </c>
    </row>
    <row r="5" spans="1:3">
      <c r="B5" t="s">
        <v>51</v>
      </c>
      <c r="C5" s="31">
        <v>6</v>
      </c>
    </row>
    <row r="6" spans="1:3">
      <c r="B6" t="s">
        <v>52</v>
      </c>
      <c r="C6" s="31">
        <v>4</v>
      </c>
    </row>
    <row r="7" spans="1:3">
      <c r="B7" t="s">
        <v>53</v>
      </c>
      <c r="C7" s="31">
        <v>18</v>
      </c>
    </row>
    <row r="8" spans="1:3">
      <c r="B8" t="s">
        <v>54</v>
      </c>
      <c r="C8" s="31">
        <v>20</v>
      </c>
    </row>
    <row r="9" spans="1:3">
      <c r="B9" t="s">
        <v>55</v>
      </c>
      <c r="C9" s="31">
        <v>14</v>
      </c>
    </row>
    <row r="10" spans="1:3">
      <c r="B10" t="s">
        <v>56</v>
      </c>
      <c r="C10" s="31">
        <v>12</v>
      </c>
    </row>
    <row r="11" spans="1:3">
      <c r="B11" t="s">
        <v>57</v>
      </c>
      <c r="C11" s="31">
        <v>179</v>
      </c>
    </row>
    <row r="12" spans="1:3">
      <c r="B12" t="s">
        <v>58</v>
      </c>
      <c r="C12" s="31">
        <v>81</v>
      </c>
    </row>
    <row r="13" spans="1:3" ht="15.75" thickBot="1">
      <c r="B13" s="45" t="s">
        <v>31</v>
      </c>
      <c r="C13" s="46">
        <v>365</v>
      </c>
    </row>
    <row r="14" spans="1:3" ht="15.75" thickTop="1"/>
    <row r="17" spans="1:2">
      <c r="A17" t="s">
        <v>59</v>
      </c>
    </row>
    <row r="18" spans="1:2">
      <c r="B18" t="s">
        <v>60</v>
      </c>
    </row>
  </sheetData>
  <sortState xmlns:xlrd2="http://schemas.microsoft.com/office/spreadsheetml/2017/richdata2" ref="A2:B11">
    <sortCondition ref="B2:B11"/>
  </sortState>
  <pageMargins left="0.7" right="0.7" top="0.75" bottom="0.75" header="0.3" footer="0.3"/>
  <pageSetup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366C-5771-4E91-8CCE-36F7A26229BE}">
  <dimension ref="B1:E35"/>
  <sheetViews>
    <sheetView workbookViewId="0">
      <selection activeCell="B8" sqref="B8"/>
    </sheetView>
  </sheetViews>
  <sheetFormatPr defaultRowHeight="15"/>
  <cols>
    <col min="2" max="2" width="8.85546875" bestFit="1" customWidth="1"/>
    <col min="3" max="3" width="46.42578125" bestFit="1" customWidth="1"/>
    <col min="4" max="4" width="2.140625" customWidth="1"/>
    <col min="5" max="5" width="20.42578125" bestFit="1" customWidth="1"/>
  </cols>
  <sheetData>
    <row r="1" spans="2:5">
      <c r="B1" s="1" t="s">
        <v>34</v>
      </c>
      <c r="C1" s="1" t="s">
        <v>44</v>
      </c>
    </row>
    <row r="2" spans="2:5">
      <c r="B2">
        <v>3106723</v>
      </c>
      <c r="C2" t="s">
        <v>14</v>
      </c>
    </row>
    <row r="3" spans="2:5">
      <c r="B3">
        <v>3104596</v>
      </c>
      <c r="C3" t="s">
        <v>61</v>
      </c>
    </row>
    <row r="4" spans="2:5">
      <c r="B4" s="37">
        <v>3302859</v>
      </c>
      <c r="C4" s="37" t="s">
        <v>17</v>
      </c>
      <c r="E4" s="36" t="s">
        <v>62</v>
      </c>
    </row>
    <row r="5" spans="2:5">
      <c r="B5" s="37">
        <v>3312495</v>
      </c>
      <c r="C5" s="37" t="s">
        <v>19</v>
      </c>
      <c r="E5" s="36" t="s">
        <v>62</v>
      </c>
    </row>
    <row r="6" spans="2:5">
      <c r="B6" s="37">
        <v>3105246</v>
      </c>
      <c r="C6" s="37" t="s">
        <v>26</v>
      </c>
      <c r="E6" s="36" t="s">
        <v>62</v>
      </c>
    </row>
    <row r="7" spans="2:5">
      <c r="B7" s="37">
        <v>3304946</v>
      </c>
      <c r="C7" s="37" t="s">
        <v>16</v>
      </c>
      <c r="E7" s="36" t="s">
        <v>62</v>
      </c>
    </row>
    <row r="8" spans="2:5">
      <c r="B8" s="37">
        <v>3105234</v>
      </c>
      <c r="C8" s="37" t="s">
        <v>30</v>
      </c>
      <c r="E8" s="36" t="s">
        <v>62</v>
      </c>
    </row>
    <row r="9" spans="2:5">
      <c r="B9">
        <v>3116516</v>
      </c>
      <c r="C9" t="s">
        <v>63</v>
      </c>
    </row>
    <row r="10" spans="2:5">
      <c r="B10">
        <v>3310485</v>
      </c>
      <c r="C10" s="4" t="s">
        <v>50</v>
      </c>
    </row>
    <row r="11" spans="2:5">
      <c r="B11">
        <v>3303597</v>
      </c>
      <c r="C11" t="s">
        <v>64</v>
      </c>
    </row>
    <row r="12" spans="2:5">
      <c r="B12">
        <v>3105048</v>
      </c>
      <c r="C12" t="s">
        <v>21</v>
      </c>
    </row>
    <row r="13" spans="2:5">
      <c r="B13">
        <v>3118328</v>
      </c>
      <c r="C13" t="s">
        <v>65</v>
      </c>
    </row>
    <row r="14" spans="2:5">
      <c r="B14">
        <v>3122972</v>
      </c>
      <c r="C14" t="s">
        <v>66</v>
      </c>
    </row>
    <row r="15" spans="2:5">
      <c r="B15">
        <v>3121810</v>
      </c>
      <c r="C15" t="s">
        <v>67</v>
      </c>
    </row>
    <row r="16" spans="2:5">
      <c r="B16">
        <v>3116101</v>
      </c>
      <c r="C16" t="s">
        <v>68</v>
      </c>
    </row>
    <row r="17" spans="2:3">
      <c r="B17">
        <v>3102469</v>
      </c>
      <c r="C17" t="s">
        <v>52</v>
      </c>
    </row>
    <row r="18" spans="2:3">
      <c r="B18">
        <v>3101677</v>
      </c>
      <c r="C18" t="s">
        <v>69</v>
      </c>
    </row>
    <row r="19" spans="2:3">
      <c r="B19">
        <v>3118229</v>
      </c>
      <c r="C19" t="s">
        <v>23</v>
      </c>
    </row>
    <row r="20" spans="2:3">
      <c r="B20">
        <v>3102365</v>
      </c>
      <c r="C20" t="s">
        <v>70</v>
      </c>
    </row>
    <row r="21" spans="2:3">
      <c r="B21">
        <v>3116128</v>
      </c>
      <c r="C21" t="s">
        <v>27</v>
      </c>
    </row>
    <row r="22" spans="2:3">
      <c r="B22">
        <v>3106197</v>
      </c>
      <c r="C22" t="s">
        <v>71</v>
      </c>
    </row>
    <row r="23" spans="2:3">
      <c r="B23">
        <v>3310960</v>
      </c>
      <c r="C23" t="s">
        <v>72</v>
      </c>
    </row>
    <row r="24" spans="2:3">
      <c r="B24">
        <v>3104105</v>
      </c>
      <c r="C24" t="s">
        <v>28</v>
      </c>
    </row>
    <row r="25" spans="2:3">
      <c r="B25">
        <v>3102324</v>
      </c>
      <c r="C25" t="s">
        <v>58</v>
      </c>
    </row>
    <row r="26" spans="2:3">
      <c r="B26">
        <v>3102196</v>
      </c>
      <c r="C26" t="s">
        <v>54</v>
      </c>
    </row>
    <row r="27" spans="2:3">
      <c r="B27">
        <v>3106189</v>
      </c>
      <c r="C27" t="s">
        <v>73</v>
      </c>
    </row>
    <row r="28" spans="2:3">
      <c r="B28">
        <v>3118877</v>
      </c>
      <c r="C28" t="s">
        <v>55</v>
      </c>
    </row>
    <row r="29" spans="2:3">
      <c r="B29">
        <v>3102198</v>
      </c>
      <c r="C29" t="s">
        <v>74</v>
      </c>
    </row>
    <row r="30" spans="2:3">
      <c r="B30">
        <v>3102785</v>
      </c>
      <c r="C30" t="s">
        <v>75</v>
      </c>
    </row>
    <row r="31" spans="2:3">
      <c r="B31">
        <v>3101936</v>
      </c>
      <c r="C31" t="s">
        <v>56</v>
      </c>
    </row>
    <row r="32" spans="2:3">
      <c r="B32">
        <v>3102194</v>
      </c>
      <c r="C32" t="s">
        <v>76</v>
      </c>
    </row>
    <row r="33" spans="2:3">
      <c r="B33">
        <v>3101575</v>
      </c>
      <c r="C33" t="s">
        <v>51</v>
      </c>
    </row>
    <row r="34" spans="2:3">
      <c r="B34">
        <v>3107588</v>
      </c>
      <c r="C34" t="s">
        <v>77</v>
      </c>
    </row>
    <row r="35" spans="2:3">
      <c r="B35">
        <v>3312907</v>
      </c>
      <c r="C35" t="s">
        <v>24</v>
      </c>
    </row>
  </sheetData>
  <autoFilter ref="B1:C1" xr:uid="{C678366C-5771-4E91-8CCE-36F7A26229BE}">
    <sortState xmlns:xlrd2="http://schemas.microsoft.com/office/spreadsheetml/2017/richdata2" ref="B2:C28">
      <sortCondition ref="C1"/>
    </sortState>
  </autoFilter>
  <conditionalFormatting sqref="B38:B1048576 B1:B34">
    <cfRule type="duplicateValues" dxfId="1" priority="9"/>
  </conditionalFormatting>
  <conditionalFormatting sqref="C38:C1048576 C1:C34">
    <cfRule type="duplicateValues" dxfId="0" priority="1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6A2680B167C4795A2215B901C8517" ma:contentTypeVersion="7" ma:contentTypeDescription="Create a new document." ma:contentTypeScope="" ma:versionID="2bce07ed4a3e7c8ead376f2078857d8f">
  <xsd:schema xmlns:xsd="http://www.w3.org/2001/XMLSchema" xmlns:xs="http://www.w3.org/2001/XMLSchema" xmlns:p="http://schemas.microsoft.com/office/2006/metadata/properties" xmlns:ns2="3664b70e-7885-4129-8028-ad0e09bece0a" targetNamespace="http://schemas.microsoft.com/office/2006/metadata/properties" ma:root="true" ma:fieldsID="c3011c7f4d7d90b95fffff23c8c6623e" ns2:_="">
    <xsd:import namespace="3664b70e-7885-4129-8028-ad0e09bec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4b70e-7885-4129-8028-ad0e09bec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1D05B5-D099-4837-A70D-8D0307DCE88D}"/>
</file>

<file path=customXml/itemProps2.xml><?xml version="1.0" encoding="utf-8"?>
<ds:datastoreItem xmlns:ds="http://schemas.openxmlformats.org/officeDocument/2006/customXml" ds:itemID="{4147B827-156E-445E-AD88-D8FDE263DE52}"/>
</file>

<file path=customXml/itemProps3.xml><?xml version="1.0" encoding="utf-8"?>
<ds:datastoreItem xmlns:ds="http://schemas.openxmlformats.org/officeDocument/2006/customXml" ds:itemID="{B917DBD8-D520-4636-9A5D-C3CA87BFBDC8}"/>
</file>

<file path=docMetadata/LabelInfo.xml><?xml version="1.0" encoding="utf-8"?>
<clbl:labelList xmlns:clbl="http://schemas.microsoft.com/office/2020/mipLabelMetadata">
  <clbl:label id="{955465e4-dc42-4421-8e7b-40fee195517d}" enabled="1" method="Standard" siteId="{d133d45f-bab2-46a1-a75f-8de7c4e5dee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Martin, Josh</dc:creator>
  <cp:keywords/>
  <dc:description/>
  <cp:lastModifiedBy/>
  <cp:revision/>
  <dcterms:created xsi:type="dcterms:W3CDTF">2023-06-01T22:29:58Z</dcterms:created>
  <dcterms:modified xsi:type="dcterms:W3CDTF">2026-02-20T06:25:55Z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0x01010079B6A2680B167C4795A2215B901C8517</vt:lpwstr>
  </property>
</Properties>
</file>